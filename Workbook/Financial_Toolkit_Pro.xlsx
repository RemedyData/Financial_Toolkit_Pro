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ACE40301-2FCF-4034-925A-A9ECD53C04DE}" xr6:coauthVersionLast="47" xr6:coauthVersionMax="47" xr10:uidLastSave="{00000000-0000-0000-0000-000000000000}"/>
  <bookViews>
    <workbookView xWindow="-110" yWindow="-110" windowWidth="19420" windowHeight="11020" tabRatio="500" activeTab="2" xr2:uid="{00000000-000D-0000-FFFF-FFFF00000000}"/>
  </bookViews>
  <sheets>
    <sheet name="📊 Dashboard" sheetId="1" r:id="rId1"/>
    <sheet name="⚙️ Assumptions" sheetId="2" r:id="rId2"/>
    <sheet name="💰 Income Statement" sheetId="3" r:id="rId3"/>
    <sheet name="🏦 Balance Sheet" sheetId="4" r:id="rId4"/>
    <sheet name="💵 Cash Flow" sheetId="5" r:id="rId5"/>
    <sheet name="📈 Budget vs Actual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9" i="6" l="1"/>
  <c r="E19" i="6"/>
  <c r="D19" i="6"/>
  <c r="F18" i="6"/>
  <c r="E18" i="6"/>
  <c r="D18" i="6"/>
  <c r="F16" i="6"/>
  <c r="E16" i="6"/>
  <c r="D16" i="6"/>
  <c r="F15" i="6"/>
  <c r="E15" i="6"/>
  <c r="D15" i="6"/>
  <c r="F14" i="6"/>
  <c r="E14" i="6"/>
  <c r="D14" i="6"/>
  <c r="F13" i="6"/>
  <c r="E13" i="6"/>
  <c r="D13" i="6"/>
  <c r="F12" i="6"/>
  <c r="E12" i="6"/>
  <c r="D12" i="6"/>
  <c r="F10" i="6"/>
  <c r="E10" i="6"/>
  <c r="D10" i="6"/>
  <c r="F9" i="6"/>
  <c r="E9" i="6"/>
  <c r="D9" i="6"/>
  <c r="F8" i="6"/>
  <c r="E8" i="6"/>
  <c r="D8" i="6"/>
  <c r="F7" i="6"/>
  <c r="E7" i="6"/>
  <c r="D7" i="6"/>
  <c r="E28" i="5"/>
  <c r="D28" i="5"/>
  <c r="C28" i="5"/>
  <c r="E26" i="5"/>
  <c r="D26" i="5"/>
  <c r="C26" i="5"/>
  <c r="E25" i="5"/>
  <c r="D25" i="5"/>
  <c r="C25" i="5"/>
  <c r="E23" i="5"/>
  <c r="D23" i="5"/>
  <c r="C23" i="5"/>
  <c r="E22" i="5"/>
  <c r="D22" i="5"/>
  <c r="C22" i="5"/>
  <c r="E21" i="5"/>
  <c r="E20" i="5"/>
  <c r="E18" i="5"/>
  <c r="D18" i="5"/>
  <c r="C18" i="5"/>
  <c r="E17" i="5"/>
  <c r="E16" i="5"/>
  <c r="E15" i="5"/>
  <c r="E13" i="5"/>
  <c r="D13" i="5"/>
  <c r="C13" i="5"/>
  <c r="E12" i="5"/>
  <c r="E11" i="5"/>
  <c r="E10" i="5"/>
  <c r="E9" i="5"/>
  <c r="E8" i="5"/>
  <c r="D8" i="5"/>
  <c r="C8" i="5"/>
  <c r="E7" i="5"/>
  <c r="D7" i="5"/>
  <c r="C7" i="5"/>
  <c r="C40" i="4"/>
  <c r="D38" i="4"/>
  <c r="C38" i="4"/>
  <c r="D37" i="4"/>
  <c r="C37" i="4"/>
  <c r="C35" i="4"/>
  <c r="D32" i="4"/>
  <c r="C32" i="4"/>
  <c r="C30" i="4"/>
  <c r="D28" i="4"/>
  <c r="C28" i="4"/>
  <c r="C27" i="4"/>
  <c r="C24" i="4"/>
  <c r="D20" i="4"/>
  <c r="C20" i="4"/>
  <c r="D19" i="4"/>
  <c r="C19" i="4"/>
  <c r="C16" i="4"/>
  <c r="D13" i="4"/>
  <c r="C13" i="4"/>
  <c r="C10" i="4"/>
  <c r="C9" i="4"/>
  <c r="C8" i="4"/>
  <c r="C40" i="3"/>
  <c r="C38" i="3"/>
  <c r="G34" i="3"/>
  <c r="F34" i="3"/>
  <c r="E34" i="3"/>
  <c r="D34" i="3"/>
  <c r="C34" i="3"/>
  <c r="G33" i="3"/>
  <c r="F33" i="3"/>
  <c r="E33" i="3"/>
  <c r="D33" i="3"/>
  <c r="C33" i="3"/>
  <c r="G32" i="3"/>
  <c r="F32" i="3"/>
  <c r="E32" i="3"/>
  <c r="D32" i="3"/>
  <c r="C32" i="3"/>
  <c r="G29" i="3"/>
  <c r="F29" i="3"/>
  <c r="E29" i="3"/>
  <c r="D29" i="3"/>
  <c r="C29" i="3"/>
  <c r="G28" i="3"/>
  <c r="F28" i="3"/>
  <c r="E28" i="3"/>
  <c r="D28" i="3"/>
  <c r="C28" i="3"/>
  <c r="G27" i="3"/>
  <c r="F27" i="3"/>
  <c r="E27" i="3"/>
  <c r="D27" i="3"/>
  <c r="C27" i="3"/>
  <c r="G26" i="3"/>
  <c r="F26" i="3"/>
  <c r="E26" i="3"/>
  <c r="D26" i="3"/>
  <c r="C26" i="3"/>
  <c r="G24" i="3"/>
  <c r="F24" i="3"/>
  <c r="E24" i="3"/>
  <c r="D24" i="3"/>
  <c r="C24" i="3"/>
  <c r="G23" i="3"/>
  <c r="F23" i="3"/>
  <c r="E23" i="3"/>
  <c r="D23" i="3"/>
  <c r="C23" i="3"/>
  <c r="G22" i="3"/>
  <c r="G21" i="3"/>
  <c r="F21" i="3"/>
  <c r="E21" i="3"/>
  <c r="D21" i="3"/>
  <c r="C21" i="3"/>
  <c r="G20" i="3"/>
  <c r="F20" i="3"/>
  <c r="E20" i="3"/>
  <c r="D20" i="3"/>
  <c r="C20" i="3"/>
  <c r="G19" i="3"/>
  <c r="F19" i="3"/>
  <c r="E19" i="3"/>
  <c r="D19" i="3"/>
  <c r="C19" i="3"/>
  <c r="G18" i="3"/>
  <c r="F18" i="3"/>
  <c r="E18" i="3"/>
  <c r="D18" i="3"/>
  <c r="C18" i="3"/>
  <c r="G16" i="3"/>
  <c r="F16" i="3"/>
  <c r="E16" i="3"/>
  <c r="D16" i="3"/>
  <c r="C16" i="3"/>
  <c r="G15" i="3"/>
  <c r="F15" i="3"/>
  <c r="E15" i="3"/>
  <c r="D15" i="3"/>
  <c r="C15" i="3"/>
  <c r="G14" i="3"/>
  <c r="F14" i="3"/>
  <c r="E14" i="3"/>
  <c r="D14" i="3"/>
  <c r="C14" i="3"/>
  <c r="G13" i="3"/>
  <c r="F13" i="3"/>
  <c r="E13" i="3"/>
  <c r="D13" i="3"/>
  <c r="C13" i="3"/>
  <c r="G12" i="3"/>
  <c r="F12" i="3"/>
  <c r="E12" i="3"/>
  <c r="D12" i="3"/>
  <c r="C12" i="3"/>
  <c r="G10" i="3"/>
  <c r="F10" i="3"/>
  <c r="E10" i="3"/>
  <c r="D10" i="3"/>
  <c r="C10" i="3"/>
  <c r="G9" i="3"/>
  <c r="G8" i="3"/>
  <c r="F8" i="3"/>
  <c r="E8" i="3"/>
  <c r="D8" i="3"/>
  <c r="C8" i="3"/>
  <c r="G7" i="3"/>
  <c r="F7" i="3"/>
  <c r="E7" i="3"/>
  <c r="D7" i="3"/>
  <c r="C7" i="3"/>
  <c r="F8" i="1"/>
  <c r="E8" i="1"/>
  <c r="C8" i="1"/>
  <c r="B8" i="1"/>
</calcChain>
</file>

<file path=xl/sharedStrings.xml><?xml version="1.0" encoding="utf-8"?>
<sst xmlns="http://schemas.openxmlformats.org/spreadsheetml/2006/main" count="201" uniqueCount="163">
  <si>
    <t>FINANCIAL PERFORMANCE DASHBOARD</t>
  </si>
  <si>
    <t>Professional Business Financial Toolkit  |  FY 2025</t>
  </si>
  <si>
    <t>Total Revenue ($)</t>
  </si>
  <si>
    <t>Net Profit ($)</t>
  </si>
  <si>
    <t>Operating Margin</t>
  </si>
  <si>
    <t>Cash Balance ($)</t>
  </si>
  <si>
    <t>▲ vs Prior Year</t>
  </si>
  <si>
    <t>▸  NAVIGATE TO MODULE</t>
  </si>
  <si>
    <t>💰  Income Statement</t>
  </si>
  <si>
    <t>📋 Revenue, expenses &amp; net profit</t>
  </si>
  <si>
    <t>🏦  Balance Sheet</t>
  </si>
  <si>
    <t>📋 Assets, liabilities &amp; equity</t>
  </si>
  <si>
    <t>💵  Cash Flow</t>
  </si>
  <si>
    <t>📋 Operating, investing &amp; financing</t>
  </si>
  <si>
    <t>📈  Budget vs Actual</t>
  </si>
  <si>
    <t>📋 Variance analysis by category</t>
  </si>
  <si>
    <t>⚙️  Assumptions</t>
  </si>
  <si>
    <t>📋 Central inputs &amp; drivers</t>
  </si>
  <si>
    <t>CONFIDENTIAL  |  For internal use only  |  © 2025 RemedyData</t>
  </si>
  <si>
    <t>⚙️  ASSUMPTIONS &amp; KEY DRIVERS</t>
  </si>
  <si>
    <t>REVENUE ASSUMPTIONS</t>
  </si>
  <si>
    <t>Assumption</t>
  </si>
  <si>
    <t>Value</t>
  </si>
  <si>
    <t>Notes</t>
  </si>
  <si>
    <t>Base Revenue ($)</t>
  </si>
  <si>
    <t>Perfect</t>
  </si>
  <si>
    <t>YoY Revenue Growth Rate</t>
  </si>
  <si>
    <t>Product Revenue Mix (%)</t>
  </si>
  <si>
    <t>Services Revenue Mix (%)</t>
  </si>
  <si>
    <t>COST ASSUMPTIONS</t>
  </si>
  <si>
    <t>Cost of Goods Sold Margin</t>
  </si>
  <si>
    <t>Operating Expense Growth</t>
  </si>
  <si>
    <t>Salaries &amp; Wages Ratio</t>
  </si>
  <si>
    <t>Marketing Spend Ratio</t>
  </si>
  <si>
    <t>Admin &amp; Overhead Ratio</t>
  </si>
  <si>
    <t>FINANCIAL ASSUMPTIONS</t>
  </si>
  <si>
    <t>Tax Rate</t>
  </si>
  <si>
    <t>Depreciation Rate</t>
  </si>
  <si>
    <t>Interest Rate on Debt</t>
  </si>
  <si>
    <t>Dividend Payout Ratio</t>
  </si>
  <si>
    <t>BALANCE SHEET ASSUMPTIONS</t>
  </si>
  <si>
    <t>Opening Cash Balance ($)</t>
  </si>
  <si>
    <t>Accounts Receivable Days</t>
  </si>
  <si>
    <t>Accounts Payable Days</t>
  </si>
  <si>
    <t>Inventory Days</t>
  </si>
  <si>
    <t>Long-term Debt ($)</t>
  </si>
  <si>
    <t>💰  INCOME STATEMENT  -  FY 2025</t>
  </si>
  <si>
    <t>Profit &amp; Loss  |  January - December 2025</t>
  </si>
  <si>
    <t>Description</t>
  </si>
  <si>
    <t>Q1 ($)</t>
  </si>
  <si>
    <t>Q2 ($)</t>
  </si>
  <si>
    <t>Q3 ($)</t>
  </si>
  <si>
    <t>Q4 ($)</t>
  </si>
  <si>
    <t>FY Total ($)</t>
  </si>
  <si>
    <t xml:space="preserve">  REVENUE</t>
  </si>
  <si>
    <t>Product Revenue</t>
  </si>
  <si>
    <t>Services Revenue</t>
  </si>
  <si>
    <t>Other Revenue</t>
  </si>
  <si>
    <t>TOTAL REVENUE</t>
  </si>
  <si>
    <t xml:space="preserve">  COST OF GOODS SOLD</t>
  </si>
  <si>
    <t>Direct Materials</t>
  </si>
  <si>
    <t>Direct Labour</t>
  </si>
  <si>
    <t>Manufacturing Overhead</t>
  </si>
  <si>
    <t>TOTAL COGS</t>
  </si>
  <si>
    <t xml:space="preserve">  GROSS PROFIT</t>
  </si>
  <si>
    <t xml:space="preserve">  OPERATING EXPENSES</t>
  </si>
  <si>
    <t>Salaries &amp; Wages</t>
  </si>
  <si>
    <t>Marketing &amp; Advertising</t>
  </si>
  <si>
    <t>Admin &amp; Overhead</t>
  </si>
  <si>
    <t>Depreciation</t>
  </si>
  <si>
    <t>Other Operating Expenses</t>
  </si>
  <si>
    <t>TOTAL OPEX</t>
  </si>
  <si>
    <t xml:space="preserve">  EBIT  (Operating Profit)</t>
  </si>
  <si>
    <t xml:space="preserve">  BELOW THE LINE</t>
  </si>
  <si>
    <t>Interest Expense</t>
  </si>
  <si>
    <t xml:space="preserve">  PROFIT BEFORE TAX</t>
  </si>
  <si>
    <t>Income Tax</t>
  </si>
  <si>
    <r>
      <t xml:space="preserve">  </t>
    </r>
    <r>
      <rPr>
        <b/>
        <sz val="10"/>
        <color rgb="FF1B2A4A"/>
        <rFont val="Times New Roman"/>
        <charset val="1"/>
      </rPr>
      <t>★</t>
    </r>
    <r>
      <rPr>
        <b/>
        <sz val="10"/>
        <color rgb="FF1B2A4A"/>
        <rFont val="Arial"/>
        <charset val="1"/>
      </rPr>
      <t xml:space="preserve">  NET PROFIT AFTER TAX</t>
    </r>
  </si>
  <si>
    <t xml:space="preserve">  KEY RATIOS</t>
  </si>
  <si>
    <t>Gross Profit Margin</t>
  </si>
  <si>
    <t>EBIT Margin</t>
  </si>
  <si>
    <t>Net Profit Margin</t>
  </si>
  <si>
    <t>🏦  BALANCE SHEET  -  FY 2025</t>
  </si>
  <si>
    <t>As at 31 December 2025  |  All figures in USD ($)</t>
  </si>
  <si>
    <t>Item</t>
  </si>
  <si>
    <t>Current Year ($)</t>
  </si>
  <si>
    <t>Prior Year ($)</t>
  </si>
  <si>
    <t xml:space="preserve">  ASSETS</t>
  </si>
  <si>
    <t xml:space="preserve">  Current Assets</t>
  </si>
  <si>
    <t xml:space="preserve">    Cash &amp; Cash Equivalents</t>
  </si>
  <si>
    <t xml:space="preserve">    Accounts Receivable</t>
  </si>
  <si>
    <t xml:space="preserve">    Inventory</t>
  </si>
  <si>
    <t xml:space="preserve">    Prepaid Expenses</t>
  </si>
  <si>
    <t xml:space="preserve">    Other Current Assets</t>
  </si>
  <si>
    <t>TOTAL CURRENT ASSETS</t>
  </si>
  <si>
    <t xml:space="preserve">  Non-Current Assets</t>
  </si>
  <si>
    <t xml:space="preserve">    Property, Plant &amp; Equipment</t>
  </si>
  <si>
    <t xml:space="preserve">    Less: Accumulated Depreciation</t>
  </si>
  <si>
    <t>-17500</t>
  </si>
  <si>
    <t xml:space="preserve">    Intangible Assets</t>
  </si>
  <si>
    <t xml:space="preserve">    Long-term Investments</t>
  </si>
  <si>
    <t>TOTAL NON-CURRENT ASSETS</t>
  </si>
  <si>
    <t xml:space="preserve">  ★  TOTAL ASSETS</t>
  </si>
  <si>
    <t xml:space="preserve">  LIABILITIES &amp; EQUITY</t>
  </si>
  <si>
    <t xml:space="preserve">  Current Liabilities</t>
  </si>
  <si>
    <t xml:space="preserve">    Accounts Payable</t>
  </si>
  <si>
    <t xml:space="preserve">    Short-term Loans</t>
  </si>
  <si>
    <t xml:space="preserve">    Accrued Liabilities</t>
  </si>
  <si>
    <t xml:space="preserve">    Tax Payable</t>
  </si>
  <si>
    <t>TOTAL CURRENT LIABILITIES</t>
  </si>
  <si>
    <t xml:space="preserve">  Non-Current Liabilities</t>
  </si>
  <si>
    <t xml:space="preserve">    Long-term Debt</t>
  </si>
  <si>
    <t xml:space="preserve">    Deferred Tax Liabilities</t>
  </si>
  <si>
    <t>TOTAL NON-CURRENT LIAB.</t>
  </si>
  <si>
    <t xml:space="preserve">  Shareholders' Equity</t>
  </si>
  <si>
    <t xml:space="preserve">    Share Capital</t>
  </si>
  <si>
    <t xml:space="preserve">    Retained Earnings</t>
  </si>
  <si>
    <t xml:space="preserve">    Other Reserves</t>
  </si>
  <si>
    <t>TOTAL EQUITY</t>
  </si>
  <si>
    <t xml:space="preserve">  ★  TOTAL LIABILITIES &amp; EQUITY</t>
  </si>
  <si>
    <r>
      <t>✔</t>
    </r>
    <r>
      <rPr>
        <b/>
        <sz val="9"/>
        <color rgb="FF1B2A4A"/>
        <rFont val="Arial"/>
        <charset val="1"/>
      </rPr>
      <t xml:space="preserve">  Balance Check (Assets = Liabilities + Equity)</t>
    </r>
  </si>
  <si>
    <t>💵  CASH FLOW STATEMENT  -  FY 2025</t>
  </si>
  <si>
    <t>January – December 2025 |  Direct Method</t>
  </si>
  <si>
    <t>Annual Total ($)</t>
  </si>
  <si>
    <t xml:space="preserve">  OPERATING ACTIVITIES</t>
  </si>
  <si>
    <t xml:space="preserve">    Net Profit</t>
  </si>
  <si>
    <t xml:space="preserve">    Add: Depreciation</t>
  </si>
  <si>
    <t xml:space="preserve">    (Inc)/Dec in Accounts Receivable</t>
  </si>
  <si>
    <t xml:space="preserve">    (Inc)/Dec in Inventory</t>
  </si>
  <si>
    <t xml:space="preserve">    Inc/(Dec) in Accounts Payable</t>
  </si>
  <si>
    <t xml:space="preserve">    Other Working Capital Changes</t>
  </si>
  <si>
    <t>NET CASH FROM OPERATIONS</t>
  </si>
  <si>
    <t xml:space="preserve">  INVESTING ACTIVITIES</t>
  </si>
  <si>
    <t xml:space="preserve">    Purchase of Property &amp; Equipment</t>
  </si>
  <si>
    <t xml:space="preserve">    Proceeds from Asset Disposals</t>
  </si>
  <si>
    <t xml:space="preserve">    Purchase of Investments</t>
  </si>
  <si>
    <t>NET CASH FROM INVESTING</t>
  </si>
  <si>
    <t xml:space="preserve">  FINANCING ACTIVITIES</t>
  </si>
  <si>
    <t xml:space="preserve">    Proceeds from Borrowings</t>
  </si>
  <si>
    <t xml:space="preserve">    Repayment of Loans</t>
  </si>
  <si>
    <t xml:space="preserve">    Dividends Paid</t>
  </si>
  <si>
    <t>NET CASH FROM FINANCING</t>
  </si>
  <si>
    <t xml:space="preserve">  CASH MOVEMENT SUMMARY</t>
  </si>
  <si>
    <t>Net Increase/(Decrease) in Cash</t>
  </si>
  <si>
    <t>Opening Cash Balance</t>
  </si>
  <si>
    <t xml:space="preserve">  ★  CLOSING CASH BALANCE</t>
  </si>
  <si>
    <t>📈  BUDGET VS ACTUAL ANALYSIS  -  FY 2025</t>
  </si>
  <si>
    <t>Variance Analysis  |  Blue = inputs  |  Favourable variances in green, unfavourable in red</t>
  </si>
  <si>
    <t>Category</t>
  </si>
  <si>
    <t>Budget ($)</t>
  </si>
  <si>
    <t>Actual ($)</t>
  </si>
  <si>
    <t>Variance ($)</t>
  </si>
  <si>
    <t>Var %</t>
  </si>
  <si>
    <t>REVENUE</t>
  </si>
  <si>
    <t>EXPENSES</t>
  </si>
  <si>
    <t>Cost of Goods Sold</t>
  </si>
  <si>
    <t>Marketing</t>
  </si>
  <si>
    <t>TOTAL EXPENSES</t>
  </si>
  <si>
    <t>PROFITABILITY</t>
  </si>
  <si>
    <t>Gross Profit</t>
  </si>
  <si>
    <t>Net Profit</t>
  </si>
  <si>
    <t>📌  Color Guide:  Blue = Input cells  |  Black = Formula cells   |  Green variance = favourable  |  Red variance = unfavourable</t>
  </si>
  <si>
    <t xml:space="preserve">All highlighted cells (blue) are input fields.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</si>
</sst>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;\(#,##0\);\-"/>
    <numFmt numFmtId="165" formatCode="0.0%;\(0.0%\);\-"/>
  </numFmts>
  <fonts count="29" x14ac:knownFonts="1">
    <font>
      <sz val="11"/>
      <color theme="1"/>
      <name val="Calibri"/>
      <charset val="1"/>
    </font>
    <font>
      <b/>
      <sz val="18"/>
      <color rgb="FFFFFFFF"/>
      <name val="Arial"/>
      <charset val="1"/>
    </font>
    <font>
      <i/>
      <sz val="10"/>
      <color rgb="FFC9A84C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sz val="9"/>
      <color rgb="FF1B2A4A"/>
      <name val="Arial"/>
      <charset val="1"/>
    </font>
    <font>
      <sz val="9"/>
      <color rgb="FF0000FF"/>
      <name val="Arial"/>
      <charset val="1"/>
    </font>
    <font>
      <sz val="9"/>
      <color rgb="FF000000"/>
      <name val="Arial"/>
      <charset val="1"/>
    </font>
    <font>
      <i/>
      <sz val="8"/>
      <color rgb="FF1B2A4A"/>
      <name val="Arial"/>
      <charset val="1"/>
    </font>
    <font>
      <sz val="9"/>
      <name val="Arial"/>
      <charset val="1"/>
    </font>
    <font>
      <b/>
      <sz val="9"/>
      <name val="Arial"/>
      <charset val="1"/>
    </font>
    <font>
      <b/>
      <sz val="9"/>
      <color rgb="FF000000"/>
      <name val="Arial"/>
      <charset val="1"/>
    </font>
    <font>
      <b/>
      <sz val="9"/>
      <color rgb="FFC9A84C"/>
      <name val="Arial"/>
      <charset val="1"/>
    </font>
    <font>
      <b/>
      <sz val="9"/>
      <color rgb="FF1B2A4A"/>
      <name val="Arial"/>
      <charset val="1"/>
    </font>
    <font>
      <b/>
      <sz val="11"/>
      <color rgb="FF1B2A4A"/>
      <name val="Arial"/>
      <charset val="1"/>
    </font>
    <font>
      <b/>
      <sz val="10"/>
      <color rgb="FF1B2A4A"/>
      <name val="Arial"/>
      <charset val="1"/>
    </font>
    <font>
      <b/>
      <sz val="9"/>
      <color rgb="FF1B2A4A"/>
      <name val="Times New Roman"/>
      <charset val="1"/>
    </font>
    <font>
      <b/>
      <sz val="9"/>
      <color rgb="FF217346"/>
      <name val="Arial"/>
      <charset val="1"/>
    </font>
    <font>
      <i/>
      <sz val="9"/>
      <color rgb="FF1B2A4A"/>
      <name val="Arial"/>
      <charset val="1"/>
    </font>
    <font>
      <b/>
      <sz val="9"/>
      <color rgb="FF0000FF"/>
      <name val="Arial"/>
      <charset val="1"/>
    </font>
    <font>
      <i/>
      <sz val="8"/>
      <color rgb="FF888888"/>
      <name val="Arial"/>
      <charset val="1"/>
    </font>
    <font>
      <b/>
      <sz val="22"/>
      <color rgb="FFC9A84C"/>
      <name val="Arial"/>
      <charset val="1"/>
    </font>
    <font>
      <i/>
      <sz val="11"/>
      <color rgb="FFFFFFFF"/>
      <name val="Arial"/>
      <charset val="1"/>
    </font>
    <font>
      <b/>
      <sz val="20"/>
      <color rgb="FF1B2A4A"/>
      <name val="Arial"/>
      <charset val="1"/>
    </font>
    <font>
      <sz val="8"/>
      <color rgb="FF217346"/>
      <name val="Arial"/>
      <charset val="1"/>
    </font>
    <font>
      <b/>
      <sz val="11"/>
      <color rgb="FFFFFFFF"/>
      <name val="Arial"/>
      <charset val="1"/>
    </font>
    <font>
      <i/>
      <sz val="9"/>
      <color rgb="FF555555"/>
      <name val="Arial"/>
      <charset val="1"/>
    </font>
    <font>
      <i/>
      <sz val="8"/>
      <color rgb="FFFFFFFF"/>
      <name val="Arial"/>
      <charset val="1"/>
    </font>
    <font>
      <b/>
      <sz val="10"/>
      <color rgb="FF1B2A4A"/>
      <name val="Times New Roman"/>
      <charset val="1"/>
    </font>
  </fonts>
  <fills count="10">
    <fill>
      <patternFill patternType="none"/>
    </fill>
    <fill>
      <patternFill patternType="gray125"/>
    </fill>
    <fill>
      <patternFill patternType="solid">
        <fgColor rgb="FF1B2A4A"/>
        <bgColor rgb="FF2E4057"/>
      </patternFill>
    </fill>
    <fill>
      <patternFill patternType="solid">
        <fgColor rgb="FF2E4057"/>
        <bgColor rgb="FF1B2A4A"/>
      </patternFill>
    </fill>
    <fill>
      <patternFill patternType="solid">
        <fgColor rgb="FFFFFFFF"/>
        <bgColor rgb="FFF4F6FA"/>
      </patternFill>
    </fill>
    <fill>
      <patternFill patternType="solid">
        <fgColor rgb="FFEBF3FB"/>
        <bgColor rgb="FFF4F6FA"/>
      </patternFill>
    </fill>
    <fill>
      <patternFill patternType="solid">
        <fgColor rgb="FFF4F6FA"/>
        <bgColor rgb="FFEBF3FB"/>
      </patternFill>
    </fill>
    <fill>
      <patternFill patternType="solid">
        <fgColor rgb="FFD9DDE8"/>
        <bgColor rgb="FFEBF3FB"/>
      </patternFill>
    </fill>
    <fill>
      <patternFill patternType="solid">
        <fgColor rgb="FFC9A84C"/>
        <bgColor rgb="FFE67E22"/>
      </patternFill>
    </fill>
    <fill>
      <patternFill patternType="solid">
        <fgColor rgb="FF217346"/>
        <bgColor rgb="FF008080"/>
      </patternFill>
    </fill>
  </fills>
  <borders count="14">
    <border>
      <left/>
      <right/>
      <top/>
      <bottom/>
      <diagonal/>
    </border>
    <border>
      <left style="thin">
        <color rgb="FFD9DDE8"/>
      </left>
      <right style="thin">
        <color rgb="FFD9DDE8"/>
      </right>
      <top style="thin">
        <color rgb="FFD9DDE8"/>
      </top>
      <bottom style="thin">
        <color rgb="FFD9DDE8"/>
      </bottom>
      <diagonal/>
    </border>
    <border>
      <left style="thin">
        <color rgb="FFD9DDE8"/>
      </left>
      <right/>
      <top/>
      <bottom style="thin">
        <color rgb="FFD9DDE8"/>
      </bottom>
      <diagonal/>
    </border>
    <border>
      <left style="thin">
        <color rgb="FFD9DDE8"/>
      </left>
      <right style="thin">
        <color rgb="FFD9DDE8"/>
      </right>
      <top/>
      <bottom style="thin">
        <color rgb="FFD9DDE8"/>
      </bottom>
      <diagonal/>
    </border>
    <border>
      <left style="thin">
        <color rgb="FFD9DDE8"/>
      </left>
      <right/>
      <top/>
      <bottom style="medium">
        <color rgb="FFC9A84C"/>
      </bottom>
      <diagonal/>
    </border>
    <border>
      <left style="thin">
        <color rgb="FFD9DDE8"/>
      </left>
      <right/>
      <top style="thin">
        <color rgb="FFD9DDE8"/>
      </top>
      <bottom style="medium">
        <color rgb="FF1B2A4A"/>
      </bottom>
      <diagonal/>
    </border>
    <border>
      <left style="thin">
        <color rgb="FFD9DDE8"/>
      </left>
      <right style="thin">
        <color rgb="FFD9DDE8"/>
      </right>
      <top style="thin">
        <color rgb="FFD9DDE8"/>
      </top>
      <bottom style="medium">
        <color rgb="FF1B2A4A"/>
      </bottom>
      <diagonal/>
    </border>
    <border>
      <left style="thin">
        <color rgb="FFD9DDE8"/>
      </left>
      <right style="thin">
        <color rgb="FFD9DDE8"/>
      </right>
      <top/>
      <bottom style="medium">
        <color rgb="FFC9A84C"/>
      </bottom>
      <diagonal/>
    </border>
    <border>
      <left/>
      <right/>
      <top/>
      <bottom style="medium">
        <color rgb="FFC9A84C"/>
      </bottom>
      <diagonal/>
    </border>
    <border>
      <left/>
      <right style="thin">
        <color rgb="FFD9DDE8"/>
      </right>
      <top/>
      <bottom style="thin">
        <color rgb="FFD9DDE8"/>
      </bottom>
      <diagonal/>
    </border>
    <border>
      <left style="thin">
        <color rgb="FFD9DDE8"/>
      </left>
      <right style="thin">
        <color rgb="FFD9DDE8"/>
      </right>
      <top style="medium">
        <color rgb="FFC9A84C"/>
      </top>
      <bottom/>
      <diagonal/>
    </border>
    <border>
      <left style="thin">
        <color rgb="FFD9DDE8"/>
      </left>
      <right style="thin">
        <color rgb="FFD9DDE8"/>
      </right>
      <top/>
      <bottom/>
      <diagonal/>
    </border>
    <border>
      <left style="medium">
        <color rgb="FFC9A84C"/>
      </left>
      <right/>
      <top/>
      <bottom style="thin">
        <color rgb="FFD9DDE8"/>
      </bottom>
      <diagonal/>
    </border>
    <border>
      <left/>
      <right/>
      <top/>
      <bottom style="thin">
        <color rgb="FFD9DDE8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0" xfId="0" applyAlignment="1"/>
    <xf numFmtId="0" fontId="0" fillId="2" borderId="0" xfId="0" applyFill="1" applyAlignment="1"/>
    <xf numFmtId="0" fontId="3" fillId="3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0" fillId="2" borderId="2" xfId="0" applyFill="1" applyBorder="1" applyAlignment="1"/>
    <xf numFmtId="0" fontId="0" fillId="2" borderId="3" xfId="0" applyFill="1" applyBorder="1" applyAlignment="1"/>
    <xf numFmtId="0" fontId="5" fillId="4" borderId="2" xfId="0" applyFont="1" applyFill="1" applyBorder="1" applyAlignment="1">
      <alignment horizontal="left" vertical="center"/>
    </xf>
    <xf numFmtId="164" fontId="6" fillId="5" borderId="2" xfId="0" applyNumberFormat="1" applyFont="1" applyFill="1" applyBorder="1" applyAlignment="1">
      <alignment horizontal="center" vertical="center"/>
    </xf>
    <xf numFmtId="164" fontId="7" fillId="4" borderId="2" xfId="0" applyNumberFormat="1" applyFont="1" applyFill="1" applyBorder="1" applyAlignment="1">
      <alignment horizontal="center" vertical="center"/>
    </xf>
    <xf numFmtId="165" fontId="7" fillId="4" borderId="3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/>
    </xf>
    <xf numFmtId="164" fontId="7" fillId="6" borderId="2" xfId="0" applyNumberFormat="1" applyFont="1" applyFill="1" applyBorder="1" applyAlignment="1">
      <alignment horizontal="center" vertical="center"/>
    </xf>
    <xf numFmtId="165" fontId="7" fillId="6" borderId="3" xfId="0" applyNumberFormat="1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left" vertical="center"/>
    </xf>
    <xf numFmtId="164" fontId="7" fillId="4" borderId="3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left" vertical="center"/>
    </xf>
    <xf numFmtId="164" fontId="7" fillId="6" borderId="3" xfId="0" applyNumberFormat="1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horizontal="left" vertical="center"/>
    </xf>
    <xf numFmtId="164" fontId="11" fillId="7" borderId="5" xfId="0" applyNumberFormat="1" applyFont="1" applyFill="1" applyBorder="1" applyAlignment="1">
      <alignment horizontal="center" vertical="center"/>
    </xf>
    <xf numFmtId="164" fontId="11" fillId="7" borderId="6" xfId="0" applyNumberFormat="1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left" vertical="center"/>
    </xf>
    <xf numFmtId="164" fontId="11" fillId="7" borderId="2" xfId="0" applyNumberFormat="1" applyFont="1" applyFill="1" applyBorder="1" applyAlignment="1">
      <alignment horizontal="center" vertical="center"/>
    </xf>
    <xf numFmtId="164" fontId="11" fillId="7" borderId="3" xfId="0" applyNumberFormat="1" applyFont="1" applyFill="1" applyBorder="1" applyAlignment="1">
      <alignment horizontal="center" vertical="center"/>
    </xf>
    <xf numFmtId="164" fontId="14" fillId="8" borderId="5" xfId="0" applyNumberFormat="1" applyFont="1" applyFill="1" applyBorder="1" applyAlignment="1">
      <alignment horizontal="center" vertical="center"/>
    </xf>
    <xf numFmtId="164" fontId="14" fillId="8" borderId="6" xfId="0" applyNumberFormat="1" applyFont="1" applyFill="1" applyBorder="1" applyAlignment="1">
      <alignment horizontal="center" vertical="center"/>
    </xf>
    <xf numFmtId="164" fontId="6" fillId="6" borderId="3" xfId="0" applyNumberFormat="1" applyFont="1" applyFill="1" applyBorder="1" applyAlignment="1">
      <alignment horizontal="center" vertical="center"/>
    </xf>
    <xf numFmtId="0" fontId="15" fillId="8" borderId="5" xfId="0" applyFont="1" applyFill="1" applyBorder="1" applyAlignment="1">
      <alignment horizontal="left" vertical="center"/>
    </xf>
    <xf numFmtId="164" fontId="15" fillId="8" borderId="5" xfId="0" applyNumberFormat="1" applyFont="1" applyFill="1" applyBorder="1" applyAlignment="1">
      <alignment horizontal="center" vertical="center"/>
    </xf>
    <xf numFmtId="164" fontId="15" fillId="8" borderId="6" xfId="0" applyNumberFormat="1" applyFont="1" applyFill="1" applyBorder="1" applyAlignment="1">
      <alignment horizontal="center" vertical="center"/>
    </xf>
    <xf numFmtId="0" fontId="16" fillId="0" borderId="0" xfId="0" applyFont="1" applyAlignment="1"/>
    <xf numFmtId="0" fontId="17" fillId="0" borderId="0" xfId="0" applyFont="1" applyAlignment="1">
      <alignment horizontal="center" vertical="center"/>
    </xf>
    <xf numFmtId="0" fontId="13" fillId="7" borderId="5" xfId="0" applyFont="1" applyFill="1" applyBorder="1" applyAlignment="1">
      <alignment horizontal="left" vertical="center"/>
    </xf>
    <xf numFmtId="0" fontId="4" fillId="9" borderId="4" xfId="0" applyFont="1" applyFill="1" applyBorder="1" applyAlignment="1">
      <alignment horizontal="left" vertical="center"/>
    </xf>
    <xf numFmtId="164" fontId="4" fillId="9" borderId="4" xfId="0" applyNumberFormat="1" applyFont="1" applyFill="1" applyBorder="1" applyAlignment="1">
      <alignment horizontal="center" vertical="center"/>
    </xf>
    <xf numFmtId="164" fontId="4" fillId="9" borderId="7" xfId="0" applyNumberFormat="1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left" vertical="center"/>
    </xf>
    <xf numFmtId="164" fontId="12" fillId="3" borderId="2" xfId="0" applyNumberFormat="1" applyFont="1" applyFill="1" applyBorder="1" applyAlignment="1">
      <alignment horizontal="center" vertical="center"/>
    </xf>
    <xf numFmtId="164" fontId="12" fillId="3" borderId="3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horizontal="center"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7" fillId="6" borderId="2" xfId="0" applyNumberFormat="1" applyFont="1" applyFill="1" applyBorder="1" applyAlignment="1">
      <alignment horizontal="center" vertical="center"/>
    </xf>
    <xf numFmtId="165" fontId="10" fillId="6" borderId="3" xfId="0" applyNumberFormat="1" applyFont="1" applyFill="1" applyBorder="1" applyAlignment="1">
      <alignment horizontal="center" vertical="center"/>
    </xf>
    <xf numFmtId="165" fontId="7" fillId="4" borderId="2" xfId="0" applyNumberFormat="1" applyFont="1" applyFill="1" applyBorder="1" applyAlignment="1">
      <alignment horizontal="center" vertical="center"/>
    </xf>
    <xf numFmtId="165" fontId="10" fillId="4" borderId="3" xfId="0" applyNumberFormat="1" applyFont="1" applyFill="1" applyBorder="1" applyAlignment="1">
      <alignment horizontal="center" vertical="center"/>
    </xf>
    <xf numFmtId="164" fontId="0" fillId="0" borderId="0" xfId="0" applyNumberFormat="1" applyAlignment="1"/>
    <xf numFmtId="165" fontId="0" fillId="0" borderId="0" xfId="0" applyNumberFormat="1" applyAlignment="1"/>
    <xf numFmtId="0" fontId="4" fillId="3" borderId="1" xfId="0" applyFont="1" applyFill="1" applyBorder="1" applyAlignment="1">
      <alignment horizontal="center" vertical="center"/>
    </xf>
    <xf numFmtId="164" fontId="19" fillId="5" borderId="3" xfId="0" applyNumberFormat="1" applyFont="1" applyFill="1" applyBorder="1" applyAlignment="1">
      <alignment horizontal="center" vertical="center"/>
    </xf>
    <xf numFmtId="0" fontId="20" fillId="6" borderId="9" xfId="0" applyFont="1" applyFill="1" applyBorder="1" applyAlignment="1">
      <alignment horizontal="left" vertical="center"/>
    </xf>
    <xf numFmtId="165" fontId="19" fillId="5" borderId="3" xfId="0" applyNumberFormat="1" applyFont="1" applyFill="1" applyBorder="1" applyAlignment="1">
      <alignment horizontal="center" vertical="center"/>
    </xf>
    <xf numFmtId="3" fontId="19" fillId="5" borderId="3" xfId="0" applyNumberFormat="1" applyFont="1" applyFill="1" applyBorder="1" applyAlignment="1">
      <alignment horizontal="center" vertical="center"/>
    </xf>
    <xf numFmtId="0" fontId="13" fillId="6" borderId="10" xfId="0" applyFont="1" applyFill="1" applyBorder="1" applyAlignment="1">
      <alignment horizontal="center" vertical="center"/>
    </xf>
    <xf numFmtId="164" fontId="23" fillId="6" borderId="11" xfId="0" applyNumberFormat="1" applyFont="1" applyFill="1" applyBorder="1" applyAlignment="1">
      <alignment horizontal="center" vertical="center"/>
    </xf>
    <xf numFmtId="165" fontId="23" fillId="6" borderId="11" xfId="0" applyNumberFormat="1" applyFont="1" applyFill="1" applyBorder="1" applyAlignment="1">
      <alignment horizontal="center" vertical="center"/>
    </xf>
    <xf numFmtId="0" fontId="24" fillId="6" borderId="11" xfId="0" applyFont="1" applyFill="1" applyBorder="1" applyAlignment="1">
      <alignment horizontal="center" vertical="center"/>
    </xf>
    <xf numFmtId="0" fontId="0" fillId="6" borderId="7" xfId="0" applyFill="1" applyBorder="1" applyAlignment="1"/>
    <xf numFmtId="0" fontId="15" fillId="6" borderId="12" xfId="0" applyFont="1" applyFill="1" applyBorder="1" applyAlignment="1">
      <alignment horizontal="left" vertical="center"/>
    </xf>
    <xf numFmtId="0" fontId="15" fillId="4" borderId="12" xfId="0" applyFont="1" applyFill="1" applyBorder="1" applyAlignment="1">
      <alignment horizontal="left" vertical="center"/>
    </xf>
    <xf numFmtId="0" fontId="21" fillId="2" borderId="0" xfId="0" applyFont="1" applyFill="1" applyBorder="1" applyAlignment="1">
      <alignment horizontal="center" vertical="center"/>
    </xf>
    <xf numFmtId="0" fontId="22" fillId="2" borderId="0" xfId="0" applyFont="1" applyFill="1" applyBorder="1" applyAlignment="1">
      <alignment horizontal="center" vertical="center"/>
    </xf>
    <xf numFmtId="0" fontId="25" fillId="2" borderId="8" xfId="0" applyFont="1" applyFill="1" applyBorder="1" applyAlignment="1">
      <alignment horizontal="left" vertical="center"/>
    </xf>
    <xf numFmtId="0" fontId="26" fillId="6" borderId="13" xfId="0" applyFont="1" applyFill="1" applyBorder="1" applyAlignment="1">
      <alignment horizontal="left" vertical="center"/>
    </xf>
    <xf numFmtId="0" fontId="26" fillId="4" borderId="13" xfId="0" applyFont="1" applyFill="1" applyBorder="1" applyAlignment="1">
      <alignment horizontal="left" vertical="center"/>
    </xf>
    <xf numFmtId="0" fontId="27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8" fillId="8" borderId="0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12" fillId="3" borderId="4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13" fillId="8" borderId="4" xfId="0" applyFont="1" applyFill="1" applyBorder="1" applyAlignment="1">
      <alignment horizontal="left" vertical="center"/>
    </xf>
    <xf numFmtId="0" fontId="8" fillId="6" borderId="0" xfId="0" applyFont="1" applyFill="1" applyBorder="1" applyAlignment="1">
      <alignment horizontal="left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217346"/>
      <rgbColor rgb="00C0C0C0"/>
      <rgbColor rgb="00888888"/>
      <rgbColor rgb="007B68EE"/>
      <rgbColor rgb="00993366"/>
      <rgbColor rgb="00F4F6FA"/>
      <rgbColor rgb="00EBF3FB"/>
      <rgbColor rgb="00660066"/>
      <rgbColor rgb="00FF8080"/>
      <rgbColor rgb="000066CC"/>
      <rgbColor rgb="00D9DDE8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1A73E8"/>
      <rgbColor rgb="0033CCCC"/>
      <rgbColor rgb="0099CC00"/>
      <rgbColor rgb="00FFCC00"/>
      <rgbColor rgb="00FF9900"/>
      <rgbColor rgb="00E67E22"/>
      <rgbColor rgb="00555555"/>
      <rgbColor rgb="00C9A84C"/>
      <rgbColor rgb="001B2A4A"/>
      <rgbColor rgb="000F9D58"/>
      <rgbColor rgb="00003300"/>
      <rgbColor rgb="00333300"/>
      <rgbColor rgb="00993300"/>
      <rgbColor rgb="00993366"/>
      <rgbColor rgb="00333399"/>
      <rgbColor rgb="00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A1:H21"/>
  <sheetViews>
    <sheetView showGridLines="0" workbookViewId="0">
      <pane ySplit="5" topLeftCell="A6" activePane="bottomLeft" state="frozen"/>
      <selection pane="bottomLeft" activeCell="B24" sqref="B24"/>
    </sheetView>
  </sheetViews>
  <sheetFormatPr defaultColWidth="8.6328125" defaultRowHeight="14.5" x14ac:dyDescent="0.35"/>
  <cols>
    <col min="1" max="1" width="3" style="1" customWidth="1"/>
    <col min="2" max="2" width="22" style="1" customWidth="1"/>
    <col min="3" max="7" width="18" style="1" customWidth="1"/>
    <col min="8" max="8" width="3" style="1" customWidth="1"/>
  </cols>
  <sheetData>
    <row r="1" spans="1:8" ht="7.5" customHeight="1" x14ac:dyDescent="0.35">
      <c r="A1" s="2"/>
      <c r="B1" s="2"/>
      <c r="C1" s="2"/>
      <c r="D1" s="2"/>
      <c r="E1" s="2"/>
      <c r="F1" s="2"/>
      <c r="G1" s="2"/>
      <c r="H1" s="2"/>
    </row>
    <row r="2" spans="1:8" ht="48" customHeight="1" x14ac:dyDescent="0.35">
      <c r="A2" s="2"/>
      <c r="B2" s="60" t="s">
        <v>0</v>
      </c>
      <c r="C2" s="60"/>
      <c r="D2" s="60"/>
      <c r="E2" s="60"/>
      <c r="F2" s="60"/>
      <c r="G2" s="60"/>
      <c r="H2" s="2"/>
    </row>
    <row r="3" spans="1:8" ht="21.75" customHeight="1" x14ac:dyDescent="0.35">
      <c r="A3" s="2"/>
      <c r="B3" s="61" t="s">
        <v>1</v>
      </c>
      <c r="C3" s="61"/>
      <c r="D3" s="61"/>
      <c r="E3" s="61"/>
      <c r="F3" s="61"/>
      <c r="G3" s="61"/>
      <c r="H3" s="2"/>
    </row>
    <row r="4" spans="1:8" ht="15.75" customHeight="1" x14ac:dyDescent="0.35">
      <c r="A4" s="2"/>
      <c r="B4" s="2"/>
      <c r="C4" s="2"/>
      <c r="D4" s="2"/>
      <c r="E4" s="2"/>
      <c r="F4" s="2"/>
      <c r="G4" s="2"/>
      <c r="H4" s="2"/>
    </row>
    <row r="5" spans="1:8" ht="9.75" customHeight="1" x14ac:dyDescent="0.35"/>
    <row r="6" spans="1:8" ht="7.5" customHeight="1" x14ac:dyDescent="0.35"/>
    <row r="7" spans="1:8" ht="19.5" customHeight="1" x14ac:dyDescent="0.35">
      <c r="B7" s="53" t="s">
        <v>2</v>
      </c>
      <c r="C7" s="53" t="s">
        <v>3</v>
      </c>
      <c r="E7" s="53" t="s">
        <v>4</v>
      </c>
      <c r="F7" s="53" t="s">
        <v>5</v>
      </c>
    </row>
    <row r="8" spans="1:8" ht="33.75" customHeight="1" x14ac:dyDescent="0.35">
      <c r="B8" s="54">
        <f>'💰 Income Statement'!C27</f>
        <v>55500</v>
      </c>
      <c r="C8" s="54">
        <f>'💰 Income Statement'!C38</f>
        <v>185381.06216</v>
      </c>
      <c r="E8" s="55">
        <f>'💰 Income Statement'!C40</f>
        <v>0.52058129923632401</v>
      </c>
      <c r="F8" s="54">
        <f>'💵 Cash Flow'!C28</f>
        <v>41695</v>
      </c>
    </row>
    <row r="9" spans="1:8" ht="21.75" customHeight="1" x14ac:dyDescent="0.35">
      <c r="B9" s="56" t="s">
        <v>6</v>
      </c>
      <c r="C9" s="56" t="s">
        <v>6</v>
      </c>
      <c r="E9" s="56" t="s">
        <v>6</v>
      </c>
      <c r="F9" s="56" t="s">
        <v>6</v>
      </c>
    </row>
    <row r="10" spans="1:8" ht="13.5" customHeight="1" x14ac:dyDescent="0.35">
      <c r="B10" s="57"/>
      <c r="C10" s="57"/>
      <c r="E10" s="57"/>
      <c r="F10" s="57"/>
    </row>
    <row r="11" spans="1:8" ht="9.75" customHeight="1" x14ac:dyDescent="0.35"/>
    <row r="12" spans="1:8" ht="9.75" customHeight="1" x14ac:dyDescent="0.35"/>
    <row r="13" spans="1:8" ht="19.5" customHeight="1" x14ac:dyDescent="0.35">
      <c r="B13" s="62" t="s">
        <v>7</v>
      </c>
      <c r="C13" s="62"/>
      <c r="D13" s="62"/>
      <c r="E13" s="62"/>
      <c r="F13" s="62"/>
      <c r="G13" s="62"/>
    </row>
    <row r="14" spans="1:8" ht="15.75" customHeight="1" x14ac:dyDescent="0.35">
      <c r="B14" s="58" t="s">
        <v>8</v>
      </c>
      <c r="C14" s="63" t="s">
        <v>9</v>
      </c>
      <c r="D14" s="63"/>
      <c r="E14" s="63"/>
      <c r="F14" s="63"/>
      <c r="G14" s="63"/>
    </row>
    <row r="15" spans="1:8" ht="15.75" customHeight="1" x14ac:dyDescent="0.35">
      <c r="B15" s="59" t="s">
        <v>10</v>
      </c>
      <c r="C15" s="64" t="s">
        <v>11</v>
      </c>
      <c r="D15" s="64"/>
      <c r="E15" s="64"/>
      <c r="F15" s="64"/>
      <c r="G15" s="64"/>
    </row>
    <row r="16" spans="1:8" ht="15.75" customHeight="1" x14ac:dyDescent="0.35">
      <c r="B16" s="58" t="s">
        <v>12</v>
      </c>
      <c r="C16" s="63" t="s">
        <v>13</v>
      </c>
      <c r="D16" s="63"/>
      <c r="E16" s="63"/>
      <c r="F16" s="63"/>
      <c r="G16" s="63"/>
    </row>
    <row r="17" spans="2:7" ht="15.75" customHeight="1" x14ac:dyDescent="0.35">
      <c r="B17" s="59" t="s">
        <v>14</v>
      </c>
      <c r="C17" s="64" t="s">
        <v>15</v>
      </c>
      <c r="D17" s="64"/>
      <c r="E17" s="64"/>
      <c r="F17" s="64"/>
      <c r="G17" s="64"/>
    </row>
    <row r="18" spans="2:7" ht="15.75" customHeight="1" x14ac:dyDescent="0.35">
      <c r="B18" s="58" t="s">
        <v>16</v>
      </c>
      <c r="C18" s="63" t="s">
        <v>17</v>
      </c>
      <c r="D18" s="63"/>
      <c r="E18" s="63"/>
      <c r="F18" s="63"/>
      <c r="G18" s="63"/>
    </row>
    <row r="19" spans="2:7" ht="9.75" customHeight="1" x14ac:dyDescent="0.35"/>
    <row r="21" spans="2:7" ht="18" customHeight="1" x14ac:dyDescent="0.35">
      <c r="B21" s="65" t="s">
        <v>18</v>
      </c>
      <c r="C21" s="65"/>
      <c r="D21" s="65"/>
      <c r="E21" s="65"/>
      <c r="F21" s="65"/>
      <c r="G21" s="65"/>
    </row>
  </sheetData>
  <mergeCells count="9">
    <mergeCell ref="C16:G16"/>
    <mergeCell ref="C17:G17"/>
    <mergeCell ref="C18:G18"/>
    <mergeCell ref="B21:G21"/>
    <mergeCell ref="B2:G2"/>
    <mergeCell ref="B3:G3"/>
    <mergeCell ref="B13:G13"/>
    <mergeCell ref="C14:G14"/>
    <mergeCell ref="C15:G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B68EE"/>
  </sheetPr>
  <dimension ref="A1:F33"/>
  <sheetViews>
    <sheetView showGridLines="0" workbookViewId="0">
      <selection activeCell="I4" sqref="I4"/>
    </sheetView>
  </sheetViews>
  <sheetFormatPr defaultColWidth="8.6328125" defaultRowHeight="14.5" x14ac:dyDescent="0.35"/>
  <cols>
    <col min="1" max="1" width="3" style="1" customWidth="1"/>
    <col min="2" max="2" width="30" style="1" customWidth="1"/>
    <col min="3" max="5" width="20" style="1" customWidth="1"/>
    <col min="6" max="6" width="3" style="1" customWidth="1"/>
  </cols>
  <sheetData>
    <row r="1" spans="2:5" ht="7.5" customHeight="1" x14ac:dyDescent="0.35"/>
    <row r="2" spans="2:5" ht="39.75" customHeight="1" x14ac:dyDescent="0.35">
      <c r="B2" s="66" t="s">
        <v>19</v>
      </c>
      <c r="C2" s="66"/>
      <c r="D2" s="66"/>
      <c r="E2" s="66"/>
    </row>
    <row r="3" spans="2:5" ht="18" customHeight="1" x14ac:dyDescent="0.35">
      <c r="B3" s="67" t="s">
        <v>162</v>
      </c>
      <c r="C3" s="67"/>
      <c r="D3" s="67"/>
      <c r="E3" s="67"/>
    </row>
    <row r="5" spans="2:5" ht="19.5" customHeight="1" x14ac:dyDescent="0.35">
      <c r="B5" s="68" t="s">
        <v>20</v>
      </c>
      <c r="C5" s="68"/>
      <c r="D5" s="68"/>
      <c r="E5" s="68"/>
    </row>
    <row r="6" spans="2:5" ht="15" customHeight="1" x14ac:dyDescent="0.35">
      <c r="B6" s="48" t="s">
        <v>21</v>
      </c>
      <c r="C6" s="48" t="s">
        <v>22</v>
      </c>
      <c r="D6" s="48" t="s">
        <v>23</v>
      </c>
    </row>
    <row r="7" spans="2:5" ht="15.75" customHeight="1" x14ac:dyDescent="0.35">
      <c r="B7" s="11" t="s">
        <v>24</v>
      </c>
      <c r="C7" s="49">
        <v>200000</v>
      </c>
      <c r="D7" s="50" t="s">
        <v>25</v>
      </c>
    </row>
    <row r="8" spans="2:5" ht="15.75" customHeight="1" x14ac:dyDescent="0.35">
      <c r="B8" s="7" t="s">
        <v>26</v>
      </c>
      <c r="C8" s="51">
        <v>0.12</v>
      </c>
      <c r="D8" s="50" t="s">
        <v>25</v>
      </c>
    </row>
    <row r="9" spans="2:5" ht="15.75" customHeight="1" x14ac:dyDescent="0.35">
      <c r="B9" s="11" t="s">
        <v>27</v>
      </c>
      <c r="C9" s="51">
        <v>0.65</v>
      </c>
      <c r="D9" s="50" t="s">
        <v>25</v>
      </c>
    </row>
    <row r="10" spans="2:5" ht="15.75" customHeight="1" x14ac:dyDescent="0.35">
      <c r="B10" s="7" t="s">
        <v>28</v>
      </c>
      <c r="C10" s="51">
        <v>0.35</v>
      </c>
      <c r="D10" s="50" t="s">
        <v>25</v>
      </c>
    </row>
    <row r="12" spans="2:5" ht="19.5" customHeight="1" x14ac:dyDescent="0.35">
      <c r="B12" s="68" t="s">
        <v>29</v>
      </c>
      <c r="C12" s="68"/>
      <c r="D12" s="68"/>
      <c r="E12" s="68"/>
    </row>
    <row r="13" spans="2:5" ht="15" customHeight="1" x14ac:dyDescent="0.35">
      <c r="B13" s="48" t="s">
        <v>21</v>
      </c>
      <c r="C13" s="48" t="s">
        <v>22</v>
      </c>
      <c r="D13" s="48" t="s">
        <v>23</v>
      </c>
    </row>
    <row r="14" spans="2:5" ht="15.75" customHeight="1" x14ac:dyDescent="0.35">
      <c r="B14" s="11" t="s">
        <v>30</v>
      </c>
      <c r="C14" s="51">
        <v>0.42</v>
      </c>
      <c r="D14" s="50" t="s">
        <v>25</v>
      </c>
    </row>
    <row r="15" spans="2:5" ht="15.75" customHeight="1" x14ac:dyDescent="0.35">
      <c r="B15" s="7" t="s">
        <v>31</v>
      </c>
      <c r="C15" s="51">
        <v>0.08</v>
      </c>
      <c r="D15" s="50" t="s">
        <v>25</v>
      </c>
    </row>
    <row r="16" spans="2:5" ht="15.75" customHeight="1" x14ac:dyDescent="0.35">
      <c r="B16" s="11" t="s">
        <v>32</v>
      </c>
      <c r="C16" s="51">
        <v>0.25</v>
      </c>
      <c r="D16" s="50" t="s">
        <v>25</v>
      </c>
    </row>
    <row r="17" spans="2:5" ht="15.75" customHeight="1" x14ac:dyDescent="0.35">
      <c r="B17" s="7" t="s">
        <v>33</v>
      </c>
      <c r="C17" s="51">
        <v>7.0000000000000007E-2</v>
      </c>
      <c r="D17" s="50" t="s">
        <v>25</v>
      </c>
    </row>
    <row r="18" spans="2:5" ht="15.75" customHeight="1" x14ac:dyDescent="0.35">
      <c r="B18" s="11" t="s">
        <v>34</v>
      </c>
      <c r="C18" s="51">
        <v>0.05</v>
      </c>
      <c r="D18" s="50" t="s">
        <v>25</v>
      </c>
    </row>
    <row r="20" spans="2:5" ht="19.5" customHeight="1" x14ac:dyDescent="0.35">
      <c r="B20" s="68" t="s">
        <v>35</v>
      </c>
      <c r="C20" s="68"/>
      <c r="D20" s="68"/>
      <c r="E20" s="68"/>
    </row>
    <row r="21" spans="2:5" ht="15" customHeight="1" x14ac:dyDescent="0.35">
      <c r="B21" s="48" t="s">
        <v>21</v>
      </c>
      <c r="C21" s="48" t="s">
        <v>22</v>
      </c>
      <c r="D21" s="48" t="s">
        <v>23</v>
      </c>
    </row>
    <row r="22" spans="2:5" ht="15.75" customHeight="1" x14ac:dyDescent="0.35">
      <c r="B22" s="11" t="s">
        <v>36</v>
      </c>
      <c r="C22" s="51">
        <v>0.25</v>
      </c>
      <c r="D22" s="50" t="s">
        <v>25</v>
      </c>
    </row>
    <row r="23" spans="2:5" ht="15.75" customHeight="1" x14ac:dyDescent="0.35">
      <c r="B23" s="7" t="s">
        <v>37</v>
      </c>
      <c r="C23" s="51">
        <v>0.1</v>
      </c>
      <c r="D23" s="50" t="s">
        <v>25</v>
      </c>
    </row>
    <row r="24" spans="2:5" ht="15.75" customHeight="1" x14ac:dyDescent="0.35">
      <c r="B24" s="11" t="s">
        <v>38</v>
      </c>
      <c r="C24" s="51">
        <v>5.5E-2</v>
      </c>
      <c r="D24" s="50" t="s">
        <v>25</v>
      </c>
    </row>
    <row r="25" spans="2:5" ht="15.75" customHeight="1" x14ac:dyDescent="0.35">
      <c r="B25" s="7" t="s">
        <v>39</v>
      </c>
      <c r="C25" s="51">
        <v>0.3</v>
      </c>
      <c r="D25" s="50" t="s">
        <v>25</v>
      </c>
    </row>
    <row r="27" spans="2:5" ht="19.5" customHeight="1" x14ac:dyDescent="0.35">
      <c r="B27" s="68" t="s">
        <v>40</v>
      </c>
      <c r="C27" s="68"/>
      <c r="D27" s="68"/>
      <c r="E27" s="68"/>
    </row>
    <row r="28" spans="2:5" ht="15" customHeight="1" x14ac:dyDescent="0.35">
      <c r="B28" s="48" t="s">
        <v>21</v>
      </c>
      <c r="C28" s="48" t="s">
        <v>22</v>
      </c>
      <c r="D28" s="48" t="s">
        <v>23</v>
      </c>
    </row>
    <row r="29" spans="2:5" ht="15.75" customHeight="1" x14ac:dyDescent="0.35">
      <c r="B29" s="11" t="s">
        <v>41</v>
      </c>
      <c r="C29" s="49">
        <v>50000</v>
      </c>
      <c r="D29" s="50" t="s">
        <v>25</v>
      </c>
    </row>
    <row r="30" spans="2:5" ht="15.75" customHeight="1" x14ac:dyDescent="0.35">
      <c r="B30" s="7" t="s">
        <v>42</v>
      </c>
      <c r="C30" s="52">
        <v>45</v>
      </c>
      <c r="D30" s="50" t="s">
        <v>25</v>
      </c>
    </row>
    <row r="31" spans="2:5" ht="15.75" customHeight="1" x14ac:dyDescent="0.35">
      <c r="B31" s="11" t="s">
        <v>43</v>
      </c>
      <c r="C31" s="52">
        <v>30</v>
      </c>
      <c r="D31" s="50" t="s">
        <v>25</v>
      </c>
    </row>
    <row r="32" spans="2:5" ht="15.75" customHeight="1" x14ac:dyDescent="0.35">
      <c r="B32" s="7" t="s">
        <v>44</v>
      </c>
      <c r="C32" s="52">
        <v>60</v>
      </c>
      <c r="D32" s="50" t="s">
        <v>25</v>
      </c>
    </row>
    <row r="33" spans="2:4" ht="15.75" customHeight="1" x14ac:dyDescent="0.35">
      <c r="B33" s="11" t="s">
        <v>45</v>
      </c>
      <c r="C33" s="49">
        <v>150000</v>
      </c>
      <c r="D33" s="50" t="s">
        <v>25</v>
      </c>
    </row>
  </sheetData>
  <mergeCells count="6">
    <mergeCell ref="B27:E27"/>
    <mergeCell ref="B2:E2"/>
    <mergeCell ref="B3:E3"/>
    <mergeCell ref="B5:E5"/>
    <mergeCell ref="B12:E12"/>
    <mergeCell ref="B20:E2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17346"/>
  </sheetPr>
  <dimension ref="A1:H40"/>
  <sheetViews>
    <sheetView showGridLines="0" tabSelected="1" workbookViewId="0">
      <selection activeCell="E33" sqref="E33"/>
    </sheetView>
  </sheetViews>
  <sheetFormatPr defaultColWidth="8.6328125" defaultRowHeight="14.5" x14ac:dyDescent="0.35"/>
  <cols>
    <col min="1" max="1" width="3" style="1" customWidth="1"/>
    <col min="2" max="2" width="32" style="1" customWidth="1"/>
    <col min="3" max="7" width="18" style="1" customWidth="1"/>
    <col min="8" max="8" width="3" style="1" customWidth="1"/>
  </cols>
  <sheetData>
    <row r="1" spans="1:8" ht="7.5" customHeight="1" x14ac:dyDescent="0.35">
      <c r="A1" s="2"/>
      <c r="B1" s="2"/>
      <c r="C1" s="2"/>
      <c r="D1" s="2"/>
      <c r="E1" s="2"/>
      <c r="F1" s="2"/>
      <c r="G1" s="2"/>
      <c r="H1" s="2"/>
    </row>
    <row r="2" spans="1:8" ht="39.75" customHeight="1" x14ac:dyDescent="0.35">
      <c r="A2" s="2"/>
      <c r="B2" s="66" t="s">
        <v>46</v>
      </c>
      <c r="C2" s="66"/>
      <c r="D2" s="66"/>
      <c r="E2" s="66"/>
      <c r="F2" s="66"/>
      <c r="G2" s="66"/>
      <c r="H2" s="2"/>
    </row>
    <row r="3" spans="1:8" ht="18" customHeight="1" x14ac:dyDescent="0.35">
      <c r="A3" s="2"/>
      <c r="B3" s="69" t="s">
        <v>47</v>
      </c>
      <c r="C3" s="69"/>
      <c r="D3" s="69"/>
      <c r="E3" s="69"/>
      <c r="F3" s="69"/>
      <c r="G3" s="69"/>
      <c r="H3" s="2"/>
    </row>
    <row r="5" spans="1:8" ht="19.5" customHeight="1" x14ac:dyDescent="0.35">
      <c r="B5" s="3" t="s">
        <v>48</v>
      </c>
      <c r="C5" s="3" t="s">
        <v>49</v>
      </c>
      <c r="D5" s="3" t="s">
        <v>50</v>
      </c>
      <c r="E5" s="3" t="s">
        <v>51</v>
      </c>
      <c r="F5" s="3" t="s">
        <v>52</v>
      </c>
      <c r="G5" s="3" t="s">
        <v>53</v>
      </c>
    </row>
    <row r="6" spans="1:8" ht="18" customHeight="1" x14ac:dyDescent="0.35">
      <c r="B6" s="70" t="s">
        <v>54</v>
      </c>
      <c r="C6" s="70"/>
      <c r="D6" s="70"/>
      <c r="E6" s="70"/>
      <c r="F6" s="70"/>
      <c r="G6" s="70"/>
    </row>
    <row r="7" spans="1:8" ht="15.75" customHeight="1" x14ac:dyDescent="0.35">
      <c r="B7" s="7" t="s">
        <v>55</v>
      </c>
      <c r="C7" s="9">
        <f>'⚙️ Assumptions'!C7*'⚙️ Assumptions'!C10</f>
        <v>70000</v>
      </c>
      <c r="D7" s="9">
        <f>'⚙️ Assumptions'!C7*'⚙️ Assumptions'!C10*(1+'⚙️ Assumptions'!C8)</f>
        <v>78400</v>
      </c>
      <c r="E7" s="9">
        <f>'⚙️ Assumptions'!C7*'⚙️ Assumptions'!C10*(1+'⚙️ Assumptions'!C8)^2</f>
        <v>87808</v>
      </c>
      <c r="F7" s="9">
        <f>'⚙️ Assumptions'!C7*'⚙️ Assumptions'!C10*(1+'⚙️ Assumptions'!C8)^3</f>
        <v>98344.960000000006</v>
      </c>
      <c r="G7" s="15">
        <f>SUM(C7:F7)</f>
        <v>334552.96000000002</v>
      </c>
    </row>
    <row r="8" spans="1:8" ht="15.75" customHeight="1" x14ac:dyDescent="0.35">
      <c r="B8" s="11" t="s">
        <v>56</v>
      </c>
      <c r="C8" s="12">
        <f>'⚙️ Assumptions'!C7*'⚙️ Assumptions'!C11</f>
        <v>0</v>
      </c>
      <c r="D8" s="12">
        <f>'⚙️ Assumptions'!C7*'⚙️ Assumptions'!C11*(1+'⚙️ Assumptions'!C8)</f>
        <v>0</v>
      </c>
      <c r="E8" s="12">
        <f>'⚙️ Assumptions'!C7*'⚙️ Assumptions'!C11*(1+'⚙️ Assumptions'!C8)^2</f>
        <v>0</v>
      </c>
      <c r="F8" s="12">
        <f>'⚙️ Assumptions'!C7*'⚙️ Assumptions'!C11*(1+'⚙️ Assumptions'!C8)^3</f>
        <v>0</v>
      </c>
      <c r="G8" s="17">
        <f>SUM(C8:F8)</f>
        <v>0</v>
      </c>
    </row>
    <row r="9" spans="1:8" ht="15.75" customHeight="1" x14ac:dyDescent="0.35">
      <c r="B9" s="7" t="s">
        <v>57</v>
      </c>
      <c r="C9" s="8">
        <v>5000</v>
      </c>
      <c r="D9" s="8">
        <v>5250</v>
      </c>
      <c r="E9" s="8">
        <v>5513</v>
      </c>
      <c r="F9" s="8">
        <v>5788</v>
      </c>
      <c r="G9" s="15">
        <f>SUM(C9:F9)</f>
        <v>21551</v>
      </c>
    </row>
    <row r="10" spans="1:8" ht="16.5" customHeight="1" x14ac:dyDescent="0.35">
      <c r="B10" s="32" t="s">
        <v>58</v>
      </c>
      <c r="C10" s="19">
        <f>SUM(C7:C9)</f>
        <v>75000</v>
      </c>
      <c r="D10" s="19">
        <f>SUM(D7:D9)</f>
        <v>83650</v>
      </c>
      <c r="E10" s="19">
        <f>SUM(E7:E9)</f>
        <v>93321</v>
      </c>
      <c r="F10" s="19">
        <f>SUM(F7:F9)</f>
        <v>104132.96</v>
      </c>
      <c r="G10" s="20">
        <f>SUM(C10:F10)</f>
        <v>356103.96</v>
      </c>
    </row>
    <row r="11" spans="1:8" ht="18" customHeight="1" x14ac:dyDescent="0.35">
      <c r="B11" s="70" t="s">
        <v>59</v>
      </c>
      <c r="C11" s="70"/>
      <c r="D11" s="70"/>
      <c r="E11" s="70"/>
      <c r="F11" s="70"/>
      <c r="G11" s="70"/>
    </row>
    <row r="12" spans="1:8" ht="15.75" customHeight="1" x14ac:dyDescent="0.35">
      <c r="B12" s="11" t="s">
        <v>60</v>
      </c>
      <c r="C12" s="12">
        <f>C10*'⚙️ Assumptions'!C12*0.6</f>
        <v>0</v>
      </c>
      <c r="D12" s="12">
        <f>D10*'⚙️ Assumptions'!C12*0.6</f>
        <v>0</v>
      </c>
      <c r="E12" s="12">
        <f>E10*'⚙️ Assumptions'!C12*0.6</f>
        <v>0</v>
      </c>
      <c r="F12" s="12">
        <f>F10*'⚙️ Assumptions'!C12*0.6</f>
        <v>0</v>
      </c>
      <c r="G12" s="17">
        <f>SUM(C12:F12)</f>
        <v>0</v>
      </c>
    </row>
    <row r="13" spans="1:8" ht="15.75" customHeight="1" x14ac:dyDescent="0.35">
      <c r="B13" s="7" t="s">
        <v>61</v>
      </c>
      <c r="C13" s="9">
        <f>C10*'⚙️ Assumptions'!C12*0.3</f>
        <v>0</v>
      </c>
      <c r="D13" s="9">
        <f>D10*'⚙️ Assumptions'!C12*0.3</f>
        <v>0</v>
      </c>
      <c r="E13" s="9">
        <f>E10*'⚙️ Assumptions'!C12*0.3</f>
        <v>0</v>
      </c>
      <c r="F13" s="9">
        <f>F10*'⚙️ Assumptions'!C12*0.3</f>
        <v>0</v>
      </c>
      <c r="G13" s="15">
        <f>SUM(C13:F13)</f>
        <v>0</v>
      </c>
    </row>
    <row r="14" spans="1:8" ht="15.75" customHeight="1" x14ac:dyDescent="0.35">
      <c r="B14" s="11" t="s">
        <v>62</v>
      </c>
      <c r="C14" s="12">
        <f>C10*'⚙️ Assumptions'!C12*0.1</f>
        <v>0</v>
      </c>
      <c r="D14" s="12">
        <f>D10*'⚙️ Assumptions'!C12*0.1</f>
        <v>0</v>
      </c>
      <c r="E14" s="12">
        <f>E10*'⚙️ Assumptions'!C12*0.1</f>
        <v>0</v>
      </c>
      <c r="F14" s="12">
        <f>F10*'⚙️ Assumptions'!C12*0.1</f>
        <v>0</v>
      </c>
      <c r="G14" s="17">
        <f>SUM(C14:F14)</f>
        <v>0</v>
      </c>
    </row>
    <row r="15" spans="1:8" ht="16.5" customHeight="1" x14ac:dyDescent="0.35">
      <c r="B15" s="32" t="s">
        <v>63</v>
      </c>
      <c r="C15" s="19">
        <f>SUM(C12:C14)</f>
        <v>0</v>
      </c>
      <c r="D15" s="19">
        <f>SUM(D12:D14)</f>
        <v>0</v>
      </c>
      <c r="E15" s="19">
        <f>SUM(E12:E14)</f>
        <v>0</v>
      </c>
      <c r="F15" s="19">
        <f>SUM(F12:F14)</f>
        <v>0</v>
      </c>
      <c r="G15" s="20">
        <f>SUM(C15:F15)</f>
        <v>0</v>
      </c>
    </row>
    <row r="16" spans="1:8" ht="18" customHeight="1" x14ac:dyDescent="0.35">
      <c r="B16" s="33" t="s">
        <v>64</v>
      </c>
      <c r="C16" s="34">
        <f>C10-C15</f>
        <v>75000</v>
      </c>
      <c r="D16" s="34">
        <f>D10-D15</f>
        <v>83650</v>
      </c>
      <c r="E16" s="34">
        <f>E10-E15</f>
        <v>93321</v>
      </c>
      <c r="F16" s="34">
        <f>F10-F15</f>
        <v>104132.96</v>
      </c>
      <c r="G16" s="35">
        <f>SUM(C16:F16)</f>
        <v>356103.96</v>
      </c>
    </row>
    <row r="17" spans="2:7" ht="18" customHeight="1" x14ac:dyDescent="0.35">
      <c r="B17" s="70" t="s">
        <v>65</v>
      </c>
      <c r="C17" s="70"/>
      <c r="D17" s="70"/>
      <c r="E17" s="70"/>
      <c r="F17" s="70"/>
      <c r="G17" s="70"/>
    </row>
    <row r="18" spans="2:7" ht="15.75" customHeight="1" x14ac:dyDescent="0.35">
      <c r="B18" s="11" t="s">
        <v>66</v>
      </c>
      <c r="C18" s="12">
        <f>C10*'⚙️ Assumptions'!C20</f>
        <v>0</v>
      </c>
      <c r="D18" s="12">
        <f>D10*'⚙️ Assumptions'!C20</f>
        <v>0</v>
      </c>
      <c r="E18" s="12">
        <f>E10*'⚙️ Assumptions'!C20</f>
        <v>0</v>
      </c>
      <c r="F18" s="12">
        <f>F10*'⚙️ Assumptions'!C20</f>
        <v>0</v>
      </c>
      <c r="G18" s="17">
        <f t="shared" ref="G18:G24" si="0">SUM(C18:F18)</f>
        <v>0</v>
      </c>
    </row>
    <row r="19" spans="2:7" ht="15.75" customHeight="1" x14ac:dyDescent="0.35">
      <c r="B19" s="7" t="s">
        <v>67</v>
      </c>
      <c r="C19" s="9">
        <f>C10*'⚙️ Assumptions'!C17</f>
        <v>5250</v>
      </c>
      <c r="D19" s="9">
        <f>D10*'⚙️ Assumptions'!C17</f>
        <v>5855.5</v>
      </c>
      <c r="E19" s="9">
        <f>E10*'⚙️ Assumptions'!C17</f>
        <v>6532.47</v>
      </c>
      <c r="F19" s="9">
        <f>F10*'⚙️ Assumptions'!C17</f>
        <v>7289.3072000000002</v>
      </c>
      <c r="G19" s="15">
        <f t="shared" si="0"/>
        <v>24927.2772</v>
      </c>
    </row>
    <row r="20" spans="2:7" ht="15.75" customHeight="1" x14ac:dyDescent="0.35">
      <c r="B20" s="11" t="s">
        <v>68</v>
      </c>
      <c r="C20" s="12">
        <f>C10*'⚙️ Assumptions'!C18</f>
        <v>3750</v>
      </c>
      <c r="D20" s="12">
        <f>D10*'⚙️ Assumptions'!C18</f>
        <v>4182.5</v>
      </c>
      <c r="E20" s="12">
        <f>E10*'⚙️ Assumptions'!C18</f>
        <v>4666.05</v>
      </c>
      <c r="F20" s="12">
        <f>F10*'⚙️ Assumptions'!C18</f>
        <v>5206.6480000000001</v>
      </c>
      <c r="G20" s="17">
        <f t="shared" si="0"/>
        <v>17805.198</v>
      </c>
    </row>
    <row r="21" spans="2:7" ht="15.75" customHeight="1" x14ac:dyDescent="0.35">
      <c r="B21" s="7" t="s">
        <v>69</v>
      </c>
      <c r="C21" s="9">
        <f>C10*'⚙️ Assumptions'!C23</f>
        <v>7500</v>
      </c>
      <c r="D21" s="9">
        <f>D10*'⚙️ Assumptions'!C23</f>
        <v>8365</v>
      </c>
      <c r="E21" s="9">
        <f>E10*'⚙️ Assumptions'!C23</f>
        <v>9332.1</v>
      </c>
      <c r="F21" s="9">
        <f>F10*'⚙️ Assumptions'!C23</f>
        <v>10413.296</v>
      </c>
      <c r="G21" s="15">
        <f t="shared" si="0"/>
        <v>35610.396000000001</v>
      </c>
    </row>
    <row r="22" spans="2:7" ht="15.75" customHeight="1" x14ac:dyDescent="0.35">
      <c r="B22" s="11" t="s">
        <v>70</v>
      </c>
      <c r="C22" s="8">
        <v>3000</v>
      </c>
      <c r="D22" s="8">
        <v>3150</v>
      </c>
      <c r="E22" s="8">
        <v>3308</v>
      </c>
      <c r="F22" s="8">
        <v>3473</v>
      </c>
      <c r="G22" s="17">
        <f t="shared" si="0"/>
        <v>12931</v>
      </c>
    </row>
    <row r="23" spans="2:7" ht="16.5" customHeight="1" x14ac:dyDescent="0.35">
      <c r="B23" s="32" t="s">
        <v>71</v>
      </c>
      <c r="C23" s="19">
        <f>SUM(C18:C22)</f>
        <v>19500</v>
      </c>
      <c r="D23" s="19">
        <f>SUM(D18:D22)</f>
        <v>21553</v>
      </c>
      <c r="E23" s="19">
        <f>SUM(E18:E22)</f>
        <v>23838.62</v>
      </c>
      <c r="F23" s="19">
        <f>SUM(F18:F22)</f>
        <v>26382.251199999999</v>
      </c>
      <c r="G23" s="20">
        <f t="shared" si="0"/>
        <v>91273.871199999994</v>
      </c>
    </row>
    <row r="24" spans="2:7" ht="18" customHeight="1" x14ac:dyDescent="0.35">
      <c r="B24" s="36" t="s">
        <v>72</v>
      </c>
      <c r="C24" s="37">
        <f>C16-C23</f>
        <v>55500</v>
      </c>
      <c r="D24" s="37">
        <f>D16-D23</f>
        <v>62097</v>
      </c>
      <c r="E24" s="37">
        <f>E16-E23</f>
        <v>69482.38</v>
      </c>
      <c r="F24" s="37">
        <f>F16-F23</f>
        <v>77750.708799999993</v>
      </c>
      <c r="G24" s="38">
        <f t="shared" si="0"/>
        <v>264830.08880000003</v>
      </c>
    </row>
    <row r="25" spans="2:7" ht="18" customHeight="1" x14ac:dyDescent="0.35">
      <c r="B25" s="70" t="s">
        <v>73</v>
      </c>
      <c r="C25" s="70"/>
      <c r="D25" s="70"/>
      <c r="E25" s="70"/>
      <c r="F25" s="70"/>
      <c r="G25" s="70"/>
    </row>
    <row r="26" spans="2:7" ht="15.75" customHeight="1" x14ac:dyDescent="0.35">
      <c r="B26" s="11" t="s">
        <v>74</v>
      </c>
      <c r="C26" s="12">
        <f>'⚙️ Assumptions'!C30*'⚙️ Assumptions'!C27/4</f>
        <v>0</v>
      </c>
      <c r="D26" s="12">
        <f>'⚙️ Assumptions'!C30*'⚙️ Assumptions'!C27/4</f>
        <v>0</v>
      </c>
      <c r="E26" s="12">
        <f>'⚙️ Assumptions'!C30*'⚙️ Assumptions'!C27/4</f>
        <v>0</v>
      </c>
      <c r="F26" s="12">
        <f>'⚙️ Assumptions'!C30*'⚙️ Assumptions'!C27/4</f>
        <v>0</v>
      </c>
      <c r="G26" s="17">
        <f>SUM(C26:F26)</f>
        <v>0</v>
      </c>
    </row>
    <row r="27" spans="2:7" ht="18" customHeight="1" x14ac:dyDescent="0.35">
      <c r="B27" s="39" t="s">
        <v>75</v>
      </c>
      <c r="C27" s="40">
        <f>C24-C26</f>
        <v>55500</v>
      </c>
      <c r="D27" s="40">
        <f>D24-D26</f>
        <v>62097</v>
      </c>
      <c r="E27" s="40">
        <f>E24-E26</f>
        <v>69482.38</v>
      </c>
      <c r="F27" s="40">
        <f>F24-F26</f>
        <v>77750.708799999993</v>
      </c>
      <c r="G27" s="41">
        <f>SUM(C27:F27)</f>
        <v>264830.08880000003</v>
      </c>
    </row>
    <row r="28" spans="2:7" ht="15.75" customHeight="1" x14ac:dyDescent="0.35">
      <c r="B28" s="11" t="s">
        <v>76</v>
      </c>
      <c r="C28" s="12">
        <f>IF(C27&gt;0,C27*'⚙️ Assumptions'!C25,0)</f>
        <v>16650</v>
      </c>
      <c r="D28" s="12">
        <f>IF(D27&gt;0,D27*'⚙️ Assumptions'!C25,0)</f>
        <v>18629.099999999999</v>
      </c>
      <c r="E28" s="12">
        <f>IF(E27&gt;0,E27*'⚙️ Assumptions'!C25,0)</f>
        <v>20844.714</v>
      </c>
      <c r="F28" s="12">
        <f>IF(F27&gt;0,F27*'⚙️ Assumptions'!C25,0)</f>
        <v>23325.212640000002</v>
      </c>
      <c r="G28" s="17">
        <f>SUM(C28:F28)</f>
        <v>79449.026639999996</v>
      </c>
    </row>
    <row r="29" spans="2:7" ht="21.75" customHeight="1" x14ac:dyDescent="0.35">
      <c r="B29" s="27" t="s">
        <v>77</v>
      </c>
      <c r="C29" s="24">
        <f>C27-C28</f>
        <v>38850</v>
      </c>
      <c r="D29" s="24">
        <f>D27-D28</f>
        <v>43467.9</v>
      </c>
      <c r="E29" s="24">
        <f>E27-E28</f>
        <v>48637.665999999997</v>
      </c>
      <c r="F29" s="24">
        <f>F27-F28</f>
        <v>54425.496160000002</v>
      </c>
      <c r="G29" s="25">
        <f>SUM(C29:F29)</f>
        <v>185381.06216</v>
      </c>
    </row>
    <row r="31" spans="2:7" ht="18" customHeight="1" x14ac:dyDescent="0.35">
      <c r="B31" s="71" t="s">
        <v>78</v>
      </c>
      <c r="C31" s="71"/>
      <c r="D31" s="71"/>
      <c r="E31" s="71"/>
      <c r="F31" s="71"/>
      <c r="G31" s="71"/>
    </row>
    <row r="32" spans="2:7" ht="15.75" customHeight="1" x14ac:dyDescent="0.35">
      <c r="B32" s="16" t="s">
        <v>79</v>
      </c>
      <c r="C32" s="42">
        <f>C16/C10</f>
        <v>1</v>
      </c>
      <c r="D32" s="42">
        <f>D16/D10</f>
        <v>1</v>
      </c>
      <c r="E32" s="42">
        <f>E16/E10</f>
        <v>1</v>
      </c>
      <c r="F32" s="42">
        <f>F16/F10</f>
        <v>1</v>
      </c>
      <c r="G32" s="43">
        <f>AVERAGE(C32:F32)</f>
        <v>1</v>
      </c>
    </row>
    <row r="33" spans="2:7" ht="15.75" customHeight="1" x14ac:dyDescent="0.35">
      <c r="B33" s="14" t="s">
        <v>80</v>
      </c>
      <c r="C33" s="44">
        <f>C24/C10</f>
        <v>0.74</v>
      </c>
      <c r="D33" s="44">
        <f>D24/D10</f>
        <v>0.74234309623431005</v>
      </c>
      <c r="E33" s="44">
        <f>E24/E10</f>
        <v>0.74455245871775899</v>
      </c>
      <c r="F33" s="44">
        <f>F24/F10</f>
        <v>0.74664840795844101</v>
      </c>
      <c r="G33" s="45">
        <f>AVERAGE(C33:F33)</f>
        <v>0.74338599072762701</v>
      </c>
    </row>
    <row r="34" spans="2:7" ht="15.75" customHeight="1" x14ac:dyDescent="0.35">
      <c r="B34" s="16" t="s">
        <v>81</v>
      </c>
      <c r="C34" s="42">
        <f>C29/C10</f>
        <v>0.51800000000000002</v>
      </c>
      <c r="D34" s="42">
        <f>D29/D10</f>
        <v>0.51964016736401697</v>
      </c>
      <c r="E34" s="42">
        <f>E29/E10</f>
        <v>0.52118672110243103</v>
      </c>
      <c r="F34" s="42">
        <f>F29/F10</f>
        <v>0.52265388557090897</v>
      </c>
      <c r="G34" s="43">
        <f>AVERAGE(C34:F34)</f>
        <v>0.520370193509339</v>
      </c>
    </row>
    <row r="38" spans="2:7" ht="15" customHeight="1" x14ac:dyDescent="0.35">
      <c r="C38" s="46">
        <f>G29</f>
        <v>185381.06216</v>
      </c>
    </row>
    <row r="40" spans="2:7" ht="15" customHeight="1" x14ac:dyDescent="0.35">
      <c r="C40" s="47">
        <f>G29/G10</f>
        <v>0.52058129923632401</v>
      </c>
    </row>
  </sheetData>
  <mergeCells count="7">
    <mergeCell ref="B25:G25"/>
    <mergeCell ref="B31:G31"/>
    <mergeCell ref="B2:G2"/>
    <mergeCell ref="B3:G3"/>
    <mergeCell ref="B6:G6"/>
    <mergeCell ref="B11:G11"/>
    <mergeCell ref="B17:G1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A73E8"/>
  </sheetPr>
  <dimension ref="A1:G40"/>
  <sheetViews>
    <sheetView showGridLines="0" workbookViewId="0">
      <selection activeCell="C40" sqref="C40"/>
    </sheetView>
  </sheetViews>
  <sheetFormatPr defaultColWidth="8.6328125" defaultRowHeight="14.5" x14ac:dyDescent="0.35"/>
  <cols>
    <col min="1" max="1" width="3" style="1" customWidth="1"/>
    <col min="2" max="2" width="34" style="1" customWidth="1"/>
    <col min="3" max="4" width="20" style="1" customWidth="1"/>
    <col min="5" max="5" width="3" style="1" customWidth="1"/>
  </cols>
  <sheetData>
    <row r="1" spans="1:7" ht="15" customHeight="1" x14ac:dyDescent="0.35">
      <c r="A1" s="2"/>
      <c r="B1" s="2"/>
      <c r="C1" s="2"/>
      <c r="D1" s="2"/>
      <c r="E1" s="2"/>
    </row>
    <row r="2" spans="1:7" ht="39.75" customHeight="1" x14ac:dyDescent="0.35">
      <c r="A2" s="2"/>
      <c r="B2" s="66" t="s">
        <v>82</v>
      </c>
      <c r="C2" s="66"/>
      <c r="D2" s="66"/>
      <c r="E2" s="2"/>
    </row>
    <row r="3" spans="1:7" ht="15" customHeight="1" x14ac:dyDescent="0.35">
      <c r="A3" s="2"/>
      <c r="B3" s="69" t="s">
        <v>83</v>
      </c>
      <c r="C3" s="69"/>
      <c r="D3" s="69"/>
      <c r="E3" s="2"/>
    </row>
    <row r="5" spans="1:7" ht="19.5" customHeight="1" x14ac:dyDescent="0.35">
      <c r="B5" s="3" t="s">
        <v>84</v>
      </c>
      <c r="C5" s="3" t="s">
        <v>85</v>
      </c>
      <c r="D5" s="3" t="s">
        <v>86</v>
      </c>
    </row>
    <row r="6" spans="1:7" ht="18" customHeight="1" x14ac:dyDescent="0.35">
      <c r="B6" s="70" t="s">
        <v>87</v>
      </c>
      <c r="C6" s="70"/>
      <c r="D6" s="70"/>
      <c r="E6" s="70"/>
      <c r="F6" s="70"/>
      <c r="G6" s="70"/>
    </row>
    <row r="7" spans="1:7" ht="18" customHeight="1" x14ac:dyDescent="0.35">
      <c r="B7" s="72" t="s">
        <v>88</v>
      </c>
      <c r="C7" s="72"/>
      <c r="D7" s="72"/>
      <c r="E7" s="72"/>
      <c r="F7" s="72"/>
      <c r="G7" s="72"/>
    </row>
    <row r="8" spans="1:7" ht="15.75" customHeight="1" x14ac:dyDescent="0.35">
      <c r="B8" s="16" t="s">
        <v>89</v>
      </c>
      <c r="C8" s="12">
        <f>'💵 Cash Flow'!C28</f>
        <v>41695</v>
      </c>
      <c r="D8" s="17">
        <v>45000</v>
      </c>
    </row>
    <row r="9" spans="1:7" ht="15.75" customHeight="1" x14ac:dyDescent="0.35">
      <c r="B9" s="14" t="s">
        <v>90</v>
      </c>
      <c r="C9" s="9">
        <f>'💰 Income Statement'!G10*'⚙️ Assumptions'!C30/365</f>
        <v>43903.227945205501</v>
      </c>
      <c r="D9" s="15">
        <v>32000</v>
      </c>
    </row>
    <row r="10" spans="1:7" ht="15.75" customHeight="1" x14ac:dyDescent="0.35">
      <c r="B10" s="16" t="s">
        <v>91</v>
      </c>
      <c r="C10" s="12">
        <f>'💰 Income Statement'!G15*'⚙️ Assumptions'!C32/365</f>
        <v>0</v>
      </c>
      <c r="D10" s="17">
        <v>28000</v>
      </c>
    </row>
    <row r="11" spans="1:7" ht="15.75" customHeight="1" x14ac:dyDescent="0.35">
      <c r="B11" s="14" t="s">
        <v>92</v>
      </c>
      <c r="C11" s="8">
        <v>8500</v>
      </c>
      <c r="D11" s="15">
        <v>7800</v>
      </c>
    </row>
    <row r="12" spans="1:7" ht="15.75" customHeight="1" x14ac:dyDescent="0.35">
      <c r="B12" s="16" t="s">
        <v>93</v>
      </c>
      <c r="C12" s="8">
        <v>3200</v>
      </c>
      <c r="D12" s="17">
        <v>2900</v>
      </c>
    </row>
    <row r="13" spans="1:7" ht="16.5" customHeight="1" x14ac:dyDescent="0.35">
      <c r="B13" s="18" t="s">
        <v>94</v>
      </c>
      <c r="C13" s="19">
        <f>SUM(C8:C12)</f>
        <v>97298.227945205494</v>
      </c>
      <c r="D13" s="20">
        <f>SUM(D8:D12)</f>
        <v>115700</v>
      </c>
    </row>
    <row r="14" spans="1:7" ht="18" customHeight="1" x14ac:dyDescent="0.35">
      <c r="B14" s="72" t="s">
        <v>95</v>
      </c>
      <c r="C14" s="72"/>
      <c r="D14" s="72"/>
      <c r="E14" s="72"/>
      <c r="F14" s="72"/>
      <c r="G14" s="72"/>
    </row>
    <row r="15" spans="1:7" ht="15.75" customHeight="1" x14ac:dyDescent="0.35">
      <c r="B15" s="14" t="s">
        <v>96</v>
      </c>
      <c r="C15" s="8">
        <v>180000</v>
      </c>
      <c r="D15" s="15">
        <v>175000</v>
      </c>
    </row>
    <row r="16" spans="1:7" ht="15.75" customHeight="1" x14ac:dyDescent="0.35">
      <c r="B16" s="16" t="s">
        <v>97</v>
      </c>
      <c r="C16" s="12">
        <f>-'⚙️ Assumptions'!C23*180000</f>
        <v>-18000</v>
      </c>
      <c r="D16" s="26" t="s">
        <v>98</v>
      </c>
    </row>
    <row r="17" spans="2:7" ht="15.75" customHeight="1" x14ac:dyDescent="0.35">
      <c r="B17" s="14" t="s">
        <v>99</v>
      </c>
      <c r="C17" s="8">
        <v>25000</v>
      </c>
      <c r="D17" s="15">
        <v>28000</v>
      </c>
    </row>
    <row r="18" spans="2:7" ht="15.75" customHeight="1" x14ac:dyDescent="0.35">
      <c r="B18" s="16" t="s">
        <v>100</v>
      </c>
      <c r="C18" s="8">
        <v>40000</v>
      </c>
      <c r="D18" s="17">
        <v>35000</v>
      </c>
    </row>
    <row r="19" spans="2:7" ht="16.5" customHeight="1" x14ac:dyDescent="0.35">
      <c r="B19" s="18" t="s">
        <v>101</v>
      </c>
      <c r="C19" s="19">
        <f>SUM(C15:C18)</f>
        <v>227000</v>
      </c>
      <c r="D19" s="20">
        <f>SUM(D15:D18)</f>
        <v>238000</v>
      </c>
    </row>
    <row r="20" spans="2:7" ht="19.5" customHeight="1" x14ac:dyDescent="0.35">
      <c r="B20" s="27" t="s">
        <v>102</v>
      </c>
      <c r="C20" s="28">
        <f>C13+C19</f>
        <v>324298.227945205</v>
      </c>
      <c r="D20" s="29">
        <f>D13+D19</f>
        <v>353700</v>
      </c>
    </row>
    <row r="22" spans="2:7" ht="18" customHeight="1" x14ac:dyDescent="0.35">
      <c r="B22" s="70" t="s">
        <v>103</v>
      </c>
      <c r="C22" s="70"/>
      <c r="D22" s="70"/>
      <c r="E22" s="70"/>
      <c r="F22" s="70"/>
      <c r="G22" s="70"/>
    </row>
    <row r="23" spans="2:7" ht="18" customHeight="1" x14ac:dyDescent="0.35">
      <c r="B23" s="72" t="s">
        <v>104</v>
      </c>
      <c r="C23" s="72"/>
      <c r="D23" s="72"/>
      <c r="E23" s="72"/>
      <c r="F23" s="72"/>
      <c r="G23" s="72"/>
    </row>
    <row r="24" spans="2:7" ht="15.75" customHeight="1" x14ac:dyDescent="0.35">
      <c r="B24" s="16" t="s">
        <v>105</v>
      </c>
      <c r="C24" s="12">
        <f>'💰 Income Statement'!G15*'⚙️ Assumptions'!C31/365</f>
        <v>0</v>
      </c>
      <c r="D24" s="17">
        <v>18000</v>
      </c>
    </row>
    <row r="25" spans="2:7" ht="15.75" customHeight="1" x14ac:dyDescent="0.35">
      <c r="B25" s="14" t="s">
        <v>106</v>
      </c>
      <c r="C25" s="8">
        <v>20000</v>
      </c>
      <c r="D25" s="15">
        <v>20000</v>
      </c>
    </row>
    <row r="26" spans="2:7" ht="15.75" customHeight="1" x14ac:dyDescent="0.35">
      <c r="B26" s="16" t="s">
        <v>107</v>
      </c>
      <c r="C26" s="8">
        <v>9500</v>
      </c>
      <c r="D26" s="17">
        <v>8800</v>
      </c>
    </row>
    <row r="27" spans="2:7" ht="15.75" customHeight="1" x14ac:dyDescent="0.35">
      <c r="B27" s="14" t="s">
        <v>108</v>
      </c>
      <c r="C27" s="9">
        <f>'💰 Income Statement'!G28</f>
        <v>79449.026639999996</v>
      </c>
      <c r="D27" s="15">
        <v>5000</v>
      </c>
    </row>
    <row r="28" spans="2:7" ht="16.5" customHeight="1" x14ac:dyDescent="0.35">
      <c r="B28" s="18" t="s">
        <v>109</v>
      </c>
      <c r="C28" s="19">
        <f>SUM(C24:C27)</f>
        <v>108949.02664</v>
      </c>
      <c r="D28" s="20">
        <f>SUM(D24:D27)</f>
        <v>51800</v>
      </c>
    </row>
    <row r="29" spans="2:7" ht="18" customHeight="1" x14ac:dyDescent="0.35">
      <c r="B29" s="72" t="s">
        <v>110</v>
      </c>
      <c r="C29" s="72"/>
      <c r="D29" s="72"/>
      <c r="E29" s="72"/>
      <c r="F29" s="72"/>
      <c r="G29" s="72"/>
    </row>
    <row r="30" spans="2:7" ht="15.75" customHeight="1" x14ac:dyDescent="0.35">
      <c r="B30" s="16" t="s">
        <v>111</v>
      </c>
      <c r="C30" s="12">
        <f>'⚙️ Assumptions'!C33</f>
        <v>150000</v>
      </c>
      <c r="D30" s="17">
        <v>150000</v>
      </c>
    </row>
    <row r="31" spans="2:7" ht="15.75" customHeight="1" x14ac:dyDescent="0.35">
      <c r="B31" s="14" t="s">
        <v>112</v>
      </c>
      <c r="C31" s="8">
        <v>4500</v>
      </c>
      <c r="D31" s="15">
        <v>3800</v>
      </c>
    </row>
    <row r="32" spans="2:7" ht="16.5" customHeight="1" x14ac:dyDescent="0.35">
      <c r="B32" s="18" t="s">
        <v>113</v>
      </c>
      <c r="C32" s="19">
        <f>SUM(C30:C31)</f>
        <v>154500</v>
      </c>
      <c r="D32" s="20">
        <f>SUM(D30:D31)</f>
        <v>153800</v>
      </c>
    </row>
    <row r="33" spans="2:7" ht="18" customHeight="1" x14ac:dyDescent="0.35">
      <c r="B33" s="72" t="s">
        <v>114</v>
      </c>
      <c r="C33" s="72"/>
      <c r="D33" s="72"/>
      <c r="E33" s="72"/>
      <c r="F33" s="72"/>
      <c r="G33" s="72"/>
    </row>
    <row r="34" spans="2:7" ht="15.75" customHeight="1" x14ac:dyDescent="0.35">
      <c r="B34" s="16" t="s">
        <v>115</v>
      </c>
      <c r="C34" s="8">
        <v>100000</v>
      </c>
      <c r="D34" s="17">
        <v>100000</v>
      </c>
    </row>
    <row r="35" spans="2:7" ht="15.75" customHeight="1" x14ac:dyDescent="0.35">
      <c r="B35" s="14" t="s">
        <v>116</v>
      </c>
      <c r="C35" s="9">
        <f>'💰 Income Statement'!G29</f>
        <v>185381.06216</v>
      </c>
      <c r="D35" s="15">
        <v>80000</v>
      </c>
    </row>
    <row r="36" spans="2:7" ht="15.75" customHeight="1" x14ac:dyDescent="0.35">
      <c r="B36" s="16" t="s">
        <v>117</v>
      </c>
      <c r="C36" s="8">
        <v>12000</v>
      </c>
      <c r="D36" s="17">
        <v>10000</v>
      </c>
    </row>
    <row r="37" spans="2:7" ht="16.5" customHeight="1" x14ac:dyDescent="0.35">
      <c r="B37" s="18" t="s">
        <v>118</v>
      </c>
      <c r="C37" s="19">
        <f>SUM(C34:C36)</f>
        <v>297381.06215999997</v>
      </c>
      <c r="D37" s="20">
        <f>SUM(D34:D36)</f>
        <v>190000</v>
      </c>
    </row>
    <row r="38" spans="2:7" ht="19.5" customHeight="1" x14ac:dyDescent="0.35">
      <c r="B38" s="27" t="s">
        <v>119</v>
      </c>
      <c r="C38" s="28">
        <f>C28+C32+C37</f>
        <v>560830.08880000003</v>
      </c>
      <c r="D38" s="29">
        <f>D28+D32+D37</f>
        <v>395600</v>
      </c>
    </row>
    <row r="40" spans="2:7" ht="15.75" customHeight="1" x14ac:dyDescent="0.35">
      <c r="B40" s="30" t="s">
        <v>120</v>
      </c>
      <c r="C40" s="31" t="str">
        <f>IF(C20=C38,"✔ BALANCED","✖ CHECK ERRORS")</f>
        <v>✖ CHECK ERRORS</v>
      </c>
    </row>
  </sheetData>
  <mergeCells count="9">
    <mergeCell ref="B22:G22"/>
    <mergeCell ref="B23:G23"/>
    <mergeCell ref="B29:G29"/>
    <mergeCell ref="B33:G33"/>
    <mergeCell ref="B2:D2"/>
    <mergeCell ref="B3:D3"/>
    <mergeCell ref="B6:G6"/>
    <mergeCell ref="B7:G7"/>
    <mergeCell ref="B14:G1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F9D58"/>
  </sheetPr>
  <dimension ref="A1:G28"/>
  <sheetViews>
    <sheetView showGridLines="0" workbookViewId="0">
      <selection activeCell="E28" sqref="E28"/>
    </sheetView>
  </sheetViews>
  <sheetFormatPr defaultColWidth="8.6328125" defaultRowHeight="14.5" x14ac:dyDescent="0.35"/>
  <cols>
    <col min="1" max="1" width="3" style="1" customWidth="1"/>
    <col min="2" max="2" width="36" style="1" customWidth="1"/>
    <col min="3" max="5" width="20" style="1" customWidth="1"/>
    <col min="6" max="6" width="3" style="1" customWidth="1"/>
  </cols>
  <sheetData>
    <row r="1" spans="1:7" ht="15" customHeight="1" x14ac:dyDescent="0.35">
      <c r="A1" s="2"/>
      <c r="B1" s="2"/>
      <c r="C1" s="2"/>
      <c r="D1" s="2"/>
      <c r="E1" s="2"/>
      <c r="F1" s="2"/>
    </row>
    <row r="2" spans="1:7" ht="39.75" customHeight="1" x14ac:dyDescent="0.35">
      <c r="A2" s="2"/>
      <c r="B2" s="66" t="s">
        <v>121</v>
      </c>
      <c r="C2" s="66"/>
      <c r="D2" s="66"/>
      <c r="E2" s="66"/>
      <c r="F2" s="2"/>
    </row>
    <row r="3" spans="1:7" ht="15" customHeight="1" x14ac:dyDescent="0.35">
      <c r="A3" s="2"/>
      <c r="B3" s="69" t="s">
        <v>122</v>
      </c>
      <c r="C3" s="69"/>
      <c r="D3" s="69"/>
      <c r="E3" s="69"/>
      <c r="F3" s="2"/>
    </row>
    <row r="5" spans="1:7" ht="19.5" customHeight="1" x14ac:dyDescent="0.35">
      <c r="B5" s="3" t="s">
        <v>48</v>
      </c>
      <c r="C5" s="3" t="s">
        <v>49</v>
      </c>
      <c r="D5" s="3" t="s">
        <v>50</v>
      </c>
      <c r="E5" s="3" t="s">
        <v>123</v>
      </c>
    </row>
    <row r="6" spans="1:7" ht="18" customHeight="1" x14ac:dyDescent="0.35">
      <c r="B6" s="70" t="s">
        <v>124</v>
      </c>
      <c r="C6" s="70"/>
      <c r="D6" s="70"/>
      <c r="E6" s="70"/>
      <c r="F6" s="70"/>
      <c r="G6" s="70"/>
    </row>
    <row r="7" spans="1:7" ht="15.75" customHeight="1" x14ac:dyDescent="0.35">
      <c r="B7" s="14" t="s">
        <v>125</v>
      </c>
      <c r="C7" s="9">
        <f>'💰 Income Statement'!C29</f>
        <v>38850</v>
      </c>
      <c r="D7" s="9">
        <f>'💰 Income Statement'!D29</f>
        <v>43467.9</v>
      </c>
      <c r="E7" s="15">
        <f t="shared" ref="E7:E12" si="0">SUM(C7:D7)</f>
        <v>82317.899999999994</v>
      </c>
    </row>
    <row r="8" spans="1:7" ht="15.75" customHeight="1" x14ac:dyDescent="0.35">
      <c r="B8" s="16" t="s">
        <v>126</v>
      </c>
      <c r="C8" s="12">
        <f>'💰 Income Statement'!C21</f>
        <v>7500</v>
      </c>
      <c r="D8" s="12">
        <f>'💰 Income Statement'!D21</f>
        <v>8365</v>
      </c>
      <c r="E8" s="17">
        <f t="shared" si="0"/>
        <v>15865</v>
      </c>
    </row>
    <row r="9" spans="1:7" ht="15.75" customHeight="1" x14ac:dyDescent="0.35">
      <c r="B9" s="14" t="s">
        <v>127</v>
      </c>
      <c r="C9" s="8">
        <v>-8000</v>
      </c>
      <c r="D9" s="8">
        <v>-2000</v>
      </c>
      <c r="E9" s="15">
        <f t="shared" si="0"/>
        <v>-10000</v>
      </c>
    </row>
    <row r="10" spans="1:7" ht="15.75" customHeight="1" x14ac:dyDescent="0.35">
      <c r="B10" s="16" t="s">
        <v>128</v>
      </c>
      <c r="C10" s="8">
        <v>-5000</v>
      </c>
      <c r="D10" s="8">
        <v>-1500</v>
      </c>
      <c r="E10" s="17">
        <f t="shared" si="0"/>
        <v>-6500</v>
      </c>
    </row>
    <row r="11" spans="1:7" ht="15.75" customHeight="1" x14ac:dyDescent="0.35">
      <c r="B11" s="14" t="s">
        <v>129</v>
      </c>
      <c r="C11" s="8">
        <v>4000</v>
      </c>
      <c r="D11" s="8">
        <v>1000</v>
      </c>
      <c r="E11" s="15">
        <f t="shared" si="0"/>
        <v>5000</v>
      </c>
    </row>
    <row r="12" spans="1:7" ht="15.75" customHeight="1" x14ac:dyDescent="0.35">
      <c r="B12" s="16" t="s">
        <v>130</v>
      </c>
      <c r="C12" s="8">
        <v>-1000</v>
      </c>
      <c r="D12" s="8">
        <v>-500</v>
      </c>
      <c r="E12" s="17">
        <f t="shared" si="0"/>
        <v>-1500</v>
      </c>
    </row>
    <row r="13" spans="1:7" ht="16.5" customHeight="1" x14ac:dyDescent="0.35">
      <c r="B13" s="18" t="s">
        <v>131</v>
      </c>
      <c r="C13" s="19">
        <f>SUM(C7:C12)</f>
        <v>36350</v>
      </c>
      <c r="D13" s="19">
        <f>SUM(D7:D12)</f>
        <v>48832.9</v>
      </c>
      <c r="E13" s="20">
        <f>SUM(E7:E12)</f>
        <v>85182.9</v>
      </c>
    </row>
    <row r="14" spans="1:7" ht="18" customHeight="1" x14ac:dyDescent="0.35">
      <c r="B14" s="70" t="s">
        <v>132</v>
      </c>
      <c r="C14" s="70"/>
      <c r="D14" s="70"/>
      <c r="E14" s="70"/>
      <c r="F14" s="70"/>
      <c r="G14" s="70"/>
    </row>
    <row r="15" spans="1:7" ht="15.75" customHeight="1" x14ac:dyDescent="0.35">
      <c r="B15" s="14" t="s">
        <v>133</v>
      </c>
      <c r="C15" s="8">
        <v>-25000</v>
      </c>
      <c r="D15" s="8">
        <v>-10000</v>
      </c>
      <c r="E15" s="15">
        <f>SUM(C15:D15)</f>
        <v>-35000</v>
      </c>
    </row>
    <row r="16" spans="1:7" ht="15.75" customHeight="1" x14ac:dyDescent="0.35">
      <c r="B16" s="16" t="s">
        <v>134</v>
      </c>
      <c r="C16" s="8">
        <v>2000</v>
      </c>
      <c r="D16" s="8">
        <v>0</v>
      </c>
      <c r="E16" s="17">
        <f>SUM(C16:D16)</f>
        <v>2000</v>
      </c>
    </row>
    <row r="17" spans="2:7" ht="15.75" customHeight="1" x14ac:dyDescent="0.35">
      <c r="B17" s="14" t="s">
        <v>135</v>
      </c>
      <c r="C17" s="8">
        <v>-5000</v>
      </c>
      <c r="D17" s="8">
        <v>0</v>
      </c>
      <c r="E17" s="15">
        <f>SUM(C17:D17)</f>
        <v>-5000</v>
      </c>
    </row>
    <row r="18" spans="2:7" ht="16.5" customHeight="1" x14ac:dyDescent="0.35">
      <c r="B18" s="18" t="s">
        <v>136</v>
      </c>
      <c r="C18" s="19">
        <f>SUM(C15:C17)</f>
        <v>-28000</v>
      </c>
      <c r="D18" s="19">
        <f>SUM(D15:D17)</f>
        <v>-10000</v>
      </c>
      <c r="E18" s="20">
        <f>SUM(E15:E17)</f>
        <v>-38000</v>
      </c>
    </row>
    <row r="19" spans="2:7" ht="18" customHeight="1" x14ac:dyDescent="0.35">
      <c r="B19" s="70" t="s">
        <v>137</v>
      </c>
      <c r="C19" s="70"/>
      <c r="D19" s="70"/>
      <c r="E19" s="70"/>
      <c r="F19" s="70"/>
      <c r="G19" s="70"/>
    </row>
    <row r="20" spans="2:7" ht="15.75" customHeight="1" x14ac:dyDescent="0.35">
      <c r="B20" s="16" t="s">
        <v>138</v>
      </c>
      <c r="C20" s="8">
        <v>10000</v>
      </c>
      <c r="D20" s="8">
        <v>0</v>
      </c>
      <c r="E20" s="17">
        <f>SUM(C20:D20)</f>
        <v>10000</v>
      </c>
    </row>
    <row r="21" spans="2:7" ht="15.75" customHeight="1" x14ac:dyDescent="0.35">
      <c r="B21" s="14" t="s">
        <v>139</v>
      </c>
      <c r="C21" s="8">
        <v>-15000</v>
      </c>
      <c r="D21" s="8">
        <v>-5000</v>
      </c>
      <c r="E21" s="15">
        <f>SUM(C21:D21)</f>
        <v>-20000</v>
      </c>
    </row>
    <row r="22" spans="2:7" ht="15.75" customHeight="1" x14ac:dyDescent="0.35">
      <c r="B22" s="16" t="s">
        <v>140</v>
      </c>
      <c r="C22" s="12">
        <f>-'💰 Income Statement'!C29*'⚙️ Assumptions'!C25</f>
        <v>-11655</v>
      </c>
      <c r="D22" s="12">
        <f>-'💰 Income Statement'!D29*'⚙️ Assumptions'!C25</f>
        <v>-13040.37</v>
      </c>
      <c r="E22" s="17">
        <f>C22+D22</f>
        <v>-24695.37</v>
      </c>
    </row>
    <row r="23" spans="2:7" ht="16.5" customHeight="1" x14ac:dyDescent="0.35">
      <c r="B23" s="18" t="s">
        <v>141</v>
      </c>
      <c r="C23" s="19">
        <f>SUM(C20:C22)</f>
        <v>-16655</v>
      </c>
      <c r="D23" s="19">
        <f>SUM(D20:D22)</f>
        <v>-18040.37</v>
      </c>
      <c r="E23" s="20">
        <f>SUM(E20:E22)</f>
        <v>-34695.370000000003</v>
      </c>
    </row>
    <row r="24" spans="2:7" ht="18" customHeight="1" x14ac:dyDescent="0.35">
      <c r="B24" s="71" t="s">
        <v>142</v>
      </c>
      <c r="C24" s="71"/>
      <c r="D24" s="71"/>
      <c r="E24" s="71"/>
      <c r="F24" s="71"/>
      <c r="G24" s="71"/>
    </row>
    <row r="25" spans="2:7" ht="15.75" customHeight="1" x14ac:dyDescent="0.35">
      <c r="B25" s="21" t="s">
        <v>143</v>
      </c>
      <c r="C25" s="22">
        <f>C13+C18+C23</f>
        <v>-8305</v>
      </c>
      <c r="D25" s="22">
        <f>D13+D18+D23</f>
        <v>20792.53</v>
      </c>
      <c r="E25" s="23">
        <f>E13+E18+E23</f>
        <v>12487.53</v>
      </c>
    </row>
    <row r="26" spans="2:7" ht="15.75" customHeight="1" x14ac:dyDescent="0.35">
      <c r="B26" s="16" t="s">
        <v>144</v>
      </c>
      <c r="C26" s="12">
        <f>'⚙️ Assumptions'!C29</f>
        <v>50000</v>
      </c>
      <c r="D26" s="12">
        <f>'⚙️ Assumptions'!C29+D25</f>
        <v>70792.53</v>
      </c>
      <c r="E26" s="17">
        <f>C26</f>
        <v>50000</v>
      </c>
    </row>
    <row r="27" spans="2:7" ht="18" customHeight="1" x14ac:dyDescent="0.35">
      <c r="B27" s="73" t="s">
        <v>145</v>
      </c>
      <c r="C27" s="73"/>
      <c r="D27" s="73"/>
      <c r="E27" s="73"/>
      <c r="F27" s="73"/>
      <c r="G27" s="73"/>
    </row>
    <row r="28" spans="2:7" ht="15" customHeight="1" x14ac:dyDescent="0.35">
      <c r="C28" s="24">
        <f>'⚙️ Assumptions'!C29+C25</f>
        <v>41695</v>
      </c>
      <c r="D28" s="24">
        <f>C28+D25</f>
        <v>62487.53</v>
      </c>
      <c r="E28" s="25">
        <f>'⚙️ Assumptions'!C29+E25</f>
        <v>62487.53</v>
      </c>
    </row>
  </sheetData>
  <mergeCells count="7">
    <mergeCell ref="B24:G24"/>
    <mergeCell ref="B27:G27"/>
    <mergeCell ref="B2:E2"/>
    <mergeCell ref="B3:E3"/>
    <mergeCell ref="B6:G6"/>
    <mergeCell ref="B14:G14"/>
    <mergeCell ref="B19:G19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67E22"/>
  </sheetPr>
  <dimension ref="A1:G22"/>
  <sheetViews>
    <sheetView showGridLines="0" topLeftCell="B1" workbookViewId="0">
      <selection activeCell="E14" sqref="E14"/>
    </sheetView>
  </sheetViews>
  <sheetFormatPr defaultColWidth="8.6328125" defaultRowHeight="14.5" x14ac:dyDescent="0.35"/>
  <cols>
    <col min="1" max="1" width="3" style="1" customWidth="1"/>
    <col min="2" max="2" width="28" style="1" customWidth="1"/>
    <col min="3" max="6" width="16" style="1" customWidth="1"/>
    <col min="7" max="7" width="3" style="1" customWidth="1"/>
  </cols>
  <sheetData>
    <row r="1" spans="1:7" ht="15" customHeight="1" x14ac:dyDescent="0.35">
      <c r="A1" s="2"/>
      <c r="B1" s="2"/>
      <c r="C1" s="2"/>
      <c r="D1" s="2"/>
      <c r="E1" s="2"/>
      <c r="F1" s="2"/>
      <c r="G1" s="2"/>
    </row>
    <row r="2" spans="1:7" ht="39.75" customHeight="1" x14ac:dyDescent="0.35">
      <c r="A2" s="2"/>
      <c r="B2" s="66" t="s">
        <v>146</v>
      </c>
      <c r="C2" s="66"/>
      <c r="D2" s="66"/>
      <c r="E2" s="66"/>
      <c r="F2" s="66"/>
      <c r="G2" s="2"/>
    </row>
    <row r="3" spans="1:7" ht="15" customHeight="1" x14ac:dyDescent="0.35">
      <c r="A3" s="2"/>
      <c r="B3" s="69" t="s">
        <v>147</v>
      </c>
      <c r="C3" s="69"/>
      <c r="D3" s="69"/>
      <c r="E3" s="69"/>
      <c r="F3" s="69"/>
      <c r="G3" s="2"/>
    </row>
    <row r="5" spans="1:7" ht="19.5" customHeight="1" x14ac:dyDescent="0.35">
      <c r="B5" s="3" t="s">
        <v>148</v>
      </c>
      <c r="C5" s="3" t="s">
        <v>149</v>
      </c>
      <c r="D5" s="3" t="s">
        <v>150</v>
      </c>
      <c r="E5" s="3" t="s">
        <v>151</v>
      </c>
      <c r="F5" s="3" t="s">
        <v>152</v>
      </c>
    </row>
    <row r="6" spans="1:7" ht="15.75" customHeight="1" x14ac:dyDescent="0.35">
      <c r="B6" s="4" t="s">
        <v>153</v>
      </c>
      <c r="C6" s="5"/>
      <c r="D6" s="5"/>
      <c r="E6" s="5"/>
      <c r="F6" s="6"/>
    </row>
    <row r="7" spans="1:7" ht="15.75" customHeight="1" x14ac:dyDescent="0.35">
      <c r="B7" s="7" t="s">
        <v>55</v>
      </c>
      <c r="C7" s="8">
        <v>200000</v>
      </c>
      <c r="D7" s="9">
        <f>'💰 Income Statement'!G7</f>
        <v>334552.96000000002</v>
      </c>
      <c r="E7" s="9">
        <f>D7-C7</f>
        <v>134552.95999999999</v>
      </c>
      <c r="F7" s="10">
        <f>E7/C7</f>
        <v>0.67276480000000005</v>
      </c>
    </row>
    <row r="8" spans="1:7" ht="15.75" customHeight="1" x14ac:dyDescent="0.35">
      <c r="B8" s="11" t="s">
        <v>56</v>
      </c>
      <c r="C8" s="8">
        <v>80000</v>
      </c>
      <c r="D8" s="12">
        <f>'💰 Income Statement'!G8</f>
        <v>0</v>
      </c>
      <c r="E8" s="12">
        <f>D8-C8</f>
        <v>-80000</v>
      </c>
      <c r="F8" s="13">
        <f>E8/C8</f>
        <v>-1</v>
      </c>
    </row>
    <row r="9" spans="1:7" ht="15.75" customHeight="1" x14ac:dyDescent="0.35">
      <c r="B9" s="7" t="s">
        <v>57</v>
      </c>
      <c r="C9" s="8">
        <v>18000</v>
      </c>
      <c r="D9" s="9">
        <f>'💰 Income Statement'!G9</f>
        <v>21551</v>
      </c>
      <c r="E9" s="9">
        <f>D9-C9</f>
        <v>3551</v>
      </c>
      <c r="F9" s="10">
        <f>E9/C9</f>
        <v>0.197277777777778</v>
      </c>
    </row>
    <row r="10" spans="1:7" ht="15.75" customHeight="1" x14ac:dyDescent="0.35">
      <c r="B10" s="11" t="s">
        <v>58</v>
      </c>
      <c r="C10" s="8">
        <v>298000</v>
      </c>
      <c r="D10" s="12">
        <f>'💰 Income Statement'!G10</f>
        <v>356103.96</v>
      </c>
      <c r="E10" s="12">
        <f>D10-C10</f>
        <v>58103.96</v>
      </c>
      <c r="F10" s="13">
        <f>E10/C10</f>
        <v>0.194979731543624</v>
      </c>
    </row>
    <row r="11" spans="1:7" ht="15.75" customHeight="1" x14ac:dyDescent="0.35">
      <c r="B11" s="4" t="s">
        <v>154</v>
      </c>
      <c r="C11" s="5"/>
      <c r="D11" s="5"/>
      <c r="E11" s="5"/>
      <c r="F11" s="6"/>
    </row>
    <row r="12" spans="1:7" ht="15.75" customHeight="1" x14ac:dyDescent="0.35">
      <c r="B12" s="11" t="s">
        <v>155</v>
      </c>
      <c r="C12" s="8">
        <v>125000</v>
      </c>
      <c r="D12" s="12">
        <f>'💰 Income Statement'!G15</f>
        <v>0</v>
      </c>
      <c r="E12" s="12">
        <f>D12-C12</f>
        <v>-125000</v>
      </c>
      <c r="F12" s="13">
        <f>E12/C12</f>
        <v>-1</v>
      </c>
    </row>
    <row r="13" spans="1:7" ht="15.75" customHeight="1" x14ac:dyDescent="0.35">
      <c r="B13" s="7" t="s">
        <v>66</v>
      </c>
      <c r="C13" s="8">
        <v>62000</v>
      </c>
      <c r="D13" s="9">
        <f>'💰 Income Statement'!G18</f>
        <v>0</v>
      </c>
      <c r="E13" s="9">
        <f>D13-C13</f>
        <v>-62000</v>
      </c>
      <c r="F13" s="10">
        <f>E13/C13</f>
        <v>-1</v>
      </c>
    </row>
    <row r="14" spans="1:7" ht="15.75" customHeight="1" x14ac:dyDescent="0.35">
      <c r="B14" s="11" t="s">
        <v>156</v>
      </c>
      <c r="C14" s="8">
        <v>20000</v>
      </c>
      <c r="D14" s="12">
        <f>'💰 Income Statement'!G19</f>
        <v>24927.2772</v>
      </c>
      <c r="E14" s="12">
        <f>D14-C14</f>
        <v>4927.2772000000105</v>
      </c>
      <c r="F14" s="13">
        <f>E14/C14</f>
        <v>0.24636385999999999</v>
      </c>
    </row>
    <row r="15" spans="1:7" ht="15.75" customHeight="1" x14ac:dyDescent="0.35">
      <c r="B15" s="7" t="s">
        <v>68</v>
      </c>
      <c r="C15" s="8">
        <v>14000</v>
      </c>
      <c r="D15" s="9">
        <f>'💰 Income Statement'!G20</f>
        <v>17805.198</v>
      </c>
      <c r="E15" s="9">
        <f>D15-C15</f>
        <v>3805.1979999999999</v>
      </c>
      <c r="F15" s="10">
        <f>E15/C15</f>
        <v>0.27179985714285698</v>
      </c>
    </row>
    <row r="16" spans="1:7" ht="15.75" customHeight="1" x14ac:dyDescent="0.35">
      <c r="B16" s="11" t="s">
        <v>157</v>
      </c>
      <c r="C16" s="8">
        <v>221000</v>
      </c>
      <c r="D16" s="12">
        <f>SUM(D12:D15)</f>
        <v>42732.475200000001</v>
      </c>
      <c r="E16" s="12">
        <f>D16-C16</f>
        <v>-178267.52480000001</v>
      </c>
      <c r="F16" s="13">
        <f>E16/C16</f>
        <v>-0.80664038371040703</v>
      </c>
    </row>
    <row r="17" spans="2:6" ht="15.75" customHeight="1" x14ac:dyDescent="0.35">
      <c r="B17" s="4" t="s">
        <v>158</v>
      </c>
      <c r="C17" s="5"/>
      <c r="D17" s="5"/>
      <c r="E17" s="5"/>
      <c r="F17" s="6"/>
    </row>
    <row r="18" spans="2:6" ht="15.75" customHeight="1" x14ac:dyDescent="0.35">
      <c r="B18" s="11" t="s">
        <v>159</v>
      </c>
      <c r="C18" s="8">
        <v>90000</v>
      </c>
      <c r="D18" s="12">
        <f>'💰 Income Statement'!G16</f>
        <v>356103.96</v>
      </c>
      <c r="E18" s="12">
        <f>D18-C18</f>
        <v>266103.96000000002</v>
      </c>
      <c r="F18" s="13">
        <f>E18/C18</f>
        <v>2.95671066666667</v>
      </c>
    </row>
    <row r="19" spans="2:6" ht="15.75" customHeight="1" x14ac:dyDescent="0.35">
      <c r="B19" s="7" t="s">
        <v>160</v>
      </c>
      <c r="C19" s="8">
        <v>58000</v>
      </c>
      <c r="D19" s="9">
        <f>'💰 Income Statement'!G29</f>
        <v>185381.06216</v>
      </c>
      <c r="E19" s="9">
        <f>D19-C19</f>
        <v>127381.06216</v>
      </c>
      <c r="F19" s="10">
        <f>E19/C19</f>
        <v>2.1962252096551702</v>
      </c>
    </row>
    <row r="22" spans="2:6" ht="18" customHeight="1" x14ac:dyDescent="0.35">
      <c r="B22" s="74" t="s">
        <v>161</v>
      </c>
      <c r="C22" s="74"/>
      <c r="D22" s="74"/>
      <c r="E22" s="74"/>
      <c r="F22" s="74"/>
    </row>
  </sheetData>
  <mergeCells count="3">
    <mergeCell ref="B2:F2"/>
    <mergeCell ref="B3:F3"/>
    <mergeCell ref="B22:F2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📊 Dashboard</vt:lpstr>
      <vt:lpstr>⚙️ Assumptions</vt:lpstr>
      <vt:lpstr>💰 Income Statement</vt:lpstr>
      <vt:lpstr>🏦 Balance Sheet</vt:lpstr>
      <vt:lpstr>💵 Cash Flow</vt:lpstr>
      <vt:lpstr>📈 Budget vs Actual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Ramadan Salman</cp:lastModifiedBy>
  <cp:revision>0</cp:revision>
  <dcterms:created xsi:type="dcterms:W3CDTF">2026-04-29T22:35:00Z</dcterms:created>
  <dcterms:modified xsi:type="dcterms:W3CDTF">2026-06-05T15:05:41Z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D51B3862020C4397827C9A360F6E483B_12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